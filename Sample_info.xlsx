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ISE metadata invoer 2023" sheetId="1" r:id="rId4"/>
    <sheet state="hidden" name="Blad1" sheetId="2" r:id="rId5"/>
  </sheets>
  <definedNames/>
  <calcPr/>
  <extLst>
    <ext uri="GoogleSheetsCustomDataVersion2">
      <go:sheetsCustomData xmlns:go="http://customooxmlschemas.google.com/" r:id="rId6" roundtripDataChecksum="YXAbmywD1qcb+tp3T/sugVG6C5evAwbfi62lu1yBFj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======
ID#AAAB5IUxWMw
tc={a6f0ce23-e45e-4b2a-a55c-9987c64f337c}    (2026-04-30 13:32:59)
[Threaded comment]
 Your version of Excel allows you to read this threaded comment; however, any edits to it will get removed if the file is opened in a newer version of Excel. Learn more: https://go.microsoft.com/fwlink/?linkid=870924
Comment:
	Vul het officiële geslacht van het specimen in.</t>
      </text>
    </comment>
    <comment authorId="0" ref="BD2">
      <text>
        <t xml:space="preserve">======
ID#AAAB5IUxWMg
tc={defccee4-b699-420e-a70e-5c59c01faf42}    (2026-04-30 13:32:59)
[Threaded comment]
 Your version of Excel allows you to read this threaded comment; however, any edits to it will get removed if the file is opened in a newer version of Excel. Learn more: https://go.microsoft.com/fwlink/?linkid=870924
Comment:
	Vul in wanneer het specimen is verzameld.</t>
      </text>
    </comment>
    <comment authorId="0" ref="BV2">
      <text>
        <t xml:space="preserve">======
ID#AAAB5IUxWNs
tc={8b0b1098-a878-4bf2-8bd2-277858946fff}    (2026-04-30 13:32:59)
[Threaded comment]
 Your version of Excel allows you to read this threaded comment; however, any edits to it will get removed if the file is opened in a newer version of Excel. Learn more: https://go.microsoft.com/fwlink/?linkid=870924
Comment:
	Vul de breedtegraad in volgens het WGS84 coordinatensysteem</t>
      </text>
    </comment>
    <comment authorId="0" ref="BW2">
      <text>
        <t xml:space="preserve">======
ID#AAAB5IUxWM0
tc={97179ccf-2a06-4c25-b582-e18ea8e713ed}    (2026-04-30 13:32:59)
[Threaded comment]
 Your version of Excel allows you to read this threaded comment; however, any edits to it will get removed if the file is opened in a newer version of Excel. Learn more: https://go.microsoft.com/fwlink/?linkid=870924
Comment:
	Vul de hoogtegraad in volgens het WGS84 coordinatensysteem</t>
      </text>
    </comment>
    <comment authorId="0" ref="K2">
      <text>
        <t xml:space="preserve">======
ID#AAAB5IUxWMY
tc={fb0509e8-8584-480c-bc92-303039539e6a}    (2026-04-30 13:32:59)
[Threaded comment]
 Your version of Excel allows you to read this threaded comment; however, any edits to it will get removed if the file is opened in a newer version of Excel. Learn more: https://go.microsoft.com/fwlink/?linkid=870924
Comment:
	Vul de officiële soortnaam van het specimen in.</t>
      </text>
    </comment>
    <comment authorId="0" ref="CN2">
      <text>
        <t xml:space="preserve">======
ID#AAAB5IUxWNo
tc={82c888bf-f6cd-42e8-9242-d99e979d3405}    (2026-04-30 13:32:59)
[Threaded comment]
 Your version of Excel allows you to read this threaded comment; however, any edits to it will get removed if the file is opened in a newer version of Excel. Learn more: https://go.microsoft.com/fwlink/?linkid=870924
Comment:
	Optioneel: vul de link naar de foto en/of de bestandsnaam van aangeleverde foto's in.</t>
      </text>
    </comment>
    <comment authorId="0" ref="BY2">
      <text>
        <t xml:space="preserve">======
ID#AAAB5IUxWMo
tc={d1cf2f68-0fce-4787-bca6-2f1cb18105dc}    (2026-04-30 13:32:59)
[Threaded comment]
 Your version of Excel allows you to read this threaded comment; however, any edits to it will get removed if the file is opened in a newer version of Excel. Learn more: https://go.microsoft.com/fwlink/?linkid=870924
Comment:
	Vul de hoogte in meters in volgens het NAP</t>
      </text>
    </comment>
    <comment authorId="0" ref="BJ2">
      <text>
        <t xml:space="preserve">======
ID#AAAB5IUxWNI
tc={51e575d4-fc65-484b-a742-91a4f704cc07}    (2026-04-30 13:32:59)
[Threaded comment]
 Your version of Excel allows you to read this threaded comment; however, any edits to it will get removed if the file is opened in a newer version of Excel. Learn more: https://go.microsoft.com/fwlink/?linkid=870924
Comment:
	Vul zo nauwkeurig mogelijk de locatie in.</t>
      </text>
    </comment>
    <comment authorId="0" ref="AF2">
      <text>
        <t xml:space="preserve">======
ID#AAAB5IUxWNc
tc={a12b4082-0df1-4904-aa98-9959e186f50c}    (2026-04-30 13:32:59)
[Threaded comment]
 Your version of Excel allows you to read this threaded comment; however, any edits to it will get removed if the file is opened in a newer version of Excel. Learn more: https://go.microsoft.com/fwlink/?linkid=870924
Comment:
	Vul voor zover bekend de sexe van het specimen in.</t>
      </text>
    </comment>
    <comment authorId="0" ref="AG2">
      <text>
        <t xml:space="preserve">======
ID#AAAB5IUxWM8
tc={6402cf22-56dd-44ff-9626-992ce61bb737}    (2026-04-30 13:32:59)
[Threaded comment]
 Your version of Excel allows you to read this threaded comment; however, any edits to it will get removed if the file is opened in a newer version of Excel. Learn more: https://go.microsoft.com/fwlink/?linkid=870924
Comment:
	Vul voor zover bekend de levensfase van het specimen in.</t>
      </text>
    </comment>
    <comment authorId="0" ref="A2">
      <text>
        <t xml:space="preserve">======
ID#AAAB5IUxWMc
tc={4eb8866e-0b3c-4746-9742-969af24ff22a}    (2026-04-30 13:32:59)
[Threaded comment]
 Your version of Excel allows you to read this threaded comment; however, any edits to it will get removed if the file is opened in a newer version of Excel. Learn more: https://go.microsoft.com/fwlink/?linkid=870924
Comment:
	Het unieke RMNH-code die je vind in de buisjes. Heb je geen ARISE-buisjes? Maak dan een eigen code en voeg deze toe aan het specimen.</t>
      </text>
    </comment>
  </commentList>
  <extLst>
    <ext uri="GoogleSheetsCustomDataVersion2">
      <go:sheetsCustomData xmlns:go="http://customooxmlschemas.google.com/" r:id="rId1" roundtripDataSignature="AMtx7mgFgOUIBUaplT/IxZybw5UMcFeRGQ=="/>
    </ext>
  </extLst>
</comments>
</file>

<file path=xl/sharedStrings.xml><?xml version="1.0" encoding="utf-8"?>
<sst xmlns="http://schemas.openxmlformats.org/spreadsheetml/2006/main" count="2344" uniqueCount="468">
  <si>
    <t>registrationnumber</t>
  </si>
  <si>
    <t>suffix</t>
  </si>
  <si>
    <t>BasisOfRecord</t>
  </si>
  <si>
    <t>Mount</t>
  </si>
  <si>
    <t>Present in Collection</t>
  </si>
  <si>
    <t>Preservation</t>
  </si>
  <si>
    <t>Preserved part</t>
  </si>
  <si>
    <t>family_name</t>
  </si>
  <si>
    <t>General remarks</t>
  </si>
  <si>
    <t>subfamily_name</t>
  </si>
  <si>
    <t>Qualifier_entire_name</t>
  </si>
  <si>
    <t>genus</t>
  </si>
  <si>
    <t>subgenus</t>
  </si>
  <si>
    <t>Qualifier species</t>
  </si>
  <si>
    <t>species</t>
  </si>
  <si>
    <t>Qualifier subspecies</t>
  </si>
  <si>
    <t>subspecies</t>
  </si>
  <si>
    <t>taxon_author</t>
  </si>
  <si>
    <t>full name no authority</t>
  </si>
  <si>
    <t>full scientific name</t>
  </si>
  <si>
    <t>type status</t>
  </si>
  <si>
    <t>Identification remarks</t>
  </si>
  <si>
    <t>determinator</t>
  </si>
  <si>
    <t>determination date</t>
  </si>
  <si>
    <t>sec_name_genus</t>
  </si>
  <si>
    <t>sec_name_species</t>
  </si>
  <si>
    <t>sec_name_subspecies</t>
  </si>
  <si>
    <t>sec_name_taxon_author</t>
  </si>
  <si>
    <t>2nd name Qualifier entire name</t>
  </si>
  <si>
    <t>2nd name Qualifier species</t>
  </si>
  <si>
    <t>2nd name Qualifier subspecies</t>
  </si>
  <si>
    <t>2nd name name comments</t>
  </si>
  <si>
    <t>2nd name determinator</t>
  </si>
  <si>
    <t>2nd name determinator date</t>
  </si>
  <si>
    <t>amount specification - count</t>
  </si>
  <si>
    <t>amount specification - Approximately</t>
  </si>
  <si>
    <t>amount specification - sex</t>
  </si>
  <si>
    <t>amount specification - phase or stage</t>
  </si>
  <si>
    <t>detail1 - number of specimen</t>
  </si>
  <si>
    <t>detail1 - part</t>
  </si>
  <si>
    <t>detail1 - approximately</t>
  </si>
  <si>
    <t>detail1 - sex</t>
  </si>
  <si>
    <t>detail1 - phase or stage</t>
  </si>
  <si>
    <t>detail2 - number of specimen</t>
  </si>
  <si>
    <t>detail2 - part</t>
  </si>
  <si>
    <t>detail2 - approximately</t>
  </si>
  <si>
    <t>detail2 - sex</t>
  </si>
  <si>
    <t>detail2 - phase or stage</t>
  </si>
  <si>
    <t>detail3 - number of specimen</t>
  </si>
  <si>
    <t>detail3 - part</t>
  </si>
  <si>
    <t>detail3 - approximately</t>
  </si>
  <si>
    <t>detail3 - sex</t>
  </si>
  <si>
    <t>detail3 - phase or stage</t>
  </si>
  <si>
    <t>detail4 - number of specimen</t>
  </si>
  <si>
    <t>detail4 - part</t>
  </si>
  <si>
    <t>detail4 - approximately</t>
  </si>
  <si>
    <t>detail4 - sex</t>
  </si>
  <si>
    <t>detail4 - phase or stage</t>
  </si>
  <si>
    <t>collector name</t>
  </si>
  <si>
    <t>collector residence</t>
  </si>
  <si>
    <t>collecting method</t>
  </si>
  <si>
    <t>collecting date start</t>
  </si>
  <si>
    <t>collecting date end</t>
  </si>
  <si>
    <t>Collecting_date_verbatim</t>
  </si>
  <si>
    <t>collecting time start</t>
  </si>
  <si>
    <t>collecting time end</t>
  </si>
  <si>
    <t>country</t>
  </si>
  <si>
    <t>state_province</t>
  </si>
  <si>
    <t>island</t>
  </si>
  <si>
    <t>locality</t>
  </si>
  <si>
    <t>Full_locality_text</t>
  </si>
  <si>
    <t>place type</t>
  </si>
  <si>
    <t>place name</t>
  </si>
  <si>
    <t>station number</t>
  </si>
  <si>
    <t>sample id</t>
  </si>
  <si>
    <t>survey/cruise name</t>
  </si>
  <si>
    <t>Synecology-Name</t>
  </si>
  <si>
    <t>Synecology-Sex</t>
  </si>
  <si>
    <t>Synecology-Determination type</t>
  </si>
  <si>
    <t>Synecology-PhaseOrStage</t>
  </si>
  <si>
    <t>Synecology-Comment</t>
  </si>
  <si>
    <t>Biotope-Text</t>
  </si>
  <si>
    <t>verbatim coordinates</t>
  </si>
  <si>
    <t>Decimal_Latitude_WGS84</t>
  </si>
  <si>
    <t>Decimal_Longitude_WGS84</t>
  </si>
  <si>
    <t>distance in meters (radius around the coordinates)</t>
  </si>
  <si>
    <t>altitude_meters_above_sea_level</t>
  </si>
  <si>
    <t>height_meters_above_surface_level</t>
  </si>
  <si>
    <t>depth_meters_below_water_surface</t>
  </si>
  <si>
    <t>Preservation technique</t>
  </si>
  <si>
    <t>Applied Preservatives</t>
  </si>
  <si>
    <t>acquisition date</t>
  </si>
  <si>
    <t>acquisition agent</t>
  </si>
  <si>
    <t>acquisition residence</t>
  </si>
  <si>
    <t>1st additional number type</t>
  </si>
  <si>
    <t>1st additional number value</t>
  </si>
  <si>
    <t>1st additional number comment</t>
  </si>
  <si>
    <t>Dataset name (CRS datagroup description)</t>
  </si>
  <si>
    <t>Higher taxa - name 1</t>
  </si>
  <si>
    <t>Higher taxa - rank or classification 1</t>
  </si>
  <si>
    <t>Higher taxa - name 2</t>
  </si>
  <si>
    <t>Higher taxa - rank or classification 2</t>
  </si>
  <si>
    <r>
      <rPr>
        <rFont val="Calibri"/>
        <b/>
        <color theme="1"/>
        <sz val="11.0"/>
      </rPr>
      <t xml:space="preserve">RMNH-code / </t>
    </r>
    <r>
      <rPr>
        <rFont val="Calibri"/>
        <b/>
        <i/>
        <color theme="1"/>
        <sz val="11.0"/>
      </rPr>
      <t>ContainerCode</t>
    </r>
  </si>
  <si>
    <r>
      <rPr>
        <rFont val="Calibri"/>
        <b/>
        <color theme="1"/>
        <sz val="11.0"/>
      </rPr>
      <t xml:space="preserve">Houder / </t>
    </r>
    <r>
      <rPr>
        <rFont val="Calibri"/>
        <b/>
        <i/>
        <color theme="1"/>
        <sz val="11.0"/>
      </rPr>
      <t>Mount</t>
    </r>
  </si>
  <si>
    <r>
      <rPr>
        <rFont val="Calibri"/>
        <b/>
        <color theme="1"/>
        <sz val="11.0"/>
      </rPr>
      <t xml:space="preserve">Wijze van conserveren / </t>
    </r>
    <r>
      <rPr>
        <rFont val="Calibri"/>
        <b/>
        <i/>
        <color theme="1"/>
        <sz val="11.0"/>
      </rPr>
      <t>Preservation Name</t>
    </r>
  </si>
  <si>
    <t>PreservedSpecimen (standaard waarde)</t>
  </si>
  <si>
    <t>Geconserveerd deel / PreservedPart</t>
  </si>
  <si>
    <r>
      <rPr>
        <rFont val="Calibri"/>
        <b/>
        <color theme="1"/>
        <sz val="11.0"/>
      </rPr>
      <t xml:space="preserve">Opmerkingen / </t>
    </r>
    <r>
      <rPr>
        <rFont val="Calibri"/>
        <b/>
        <i/>
        <color theme="1"/>
        <sz val="11.0"/>
      </rPr>
      <t>Remarks</t>
    </r>
  </si>
  <si>
    <r>
      <rPr>
        <rFont val="Calibri"/>
        <b/>
        <color theme="1"/>
        <sz val="11.0"/>
      </rPr>
      <t xml:space="preserve">Geslacht / </t>
    </r>
    <r>
      <rPr>
        <rFont val="Calibri"/>
        <b/>
        <i/>
        <color theme="1"/>
        <sz val="11.0"/>
      </rPr>
      <t>Genus</t>
    </r>
  </si>
  <si>
    <r>
      <rPr>
        <rFont val="Calibri"/>
        <b/>
        <color theme="1"/>
        <sz val="11.0"/>
      </rPr>
      <t xml:space="preserve">Soort / </t>
    </r>
    <r>
      <rPr>
        <rFont val="Calibri"/>
        <b/>
        <i/>
        <color theme="1"/>
        <sz val="11.0"/>
      </rPr>
      <t>Species</t>
    </r>
  </si>
  <si>
    <r>
      <rPr>
        <rFont val="Calibri"/>
        <b/>
        <color theme="1"/>
        <sz val="11.0"/>
      </rPr>
      <t xml:space="preserve">RMNH-code / </t>
    </r>
    <r>
      <rPr>
        <rFont val="Calibri"/>
        <b/>
        <color theme="1"/>
        <sz val="11.0"/>
      </rPr>
      <t>ContainerCode</t>
    </r>
  </si>
  <si>
    <r>
      <rPr>
        <rFont val="Calibri"/>
        <b/>
        <color theme="1"/>
        <sz val="11.0"/>
      </rPr>
      <t xml:space="preserve">Taxonoom / </t>
    </r>
    <r>
      <rPr>
        <rFont val="Calibri"/>
        <b/>
        <i/>
        <color theme="1"/>
        <sz val="11.0"/>
      </rPr>
      <t>Determinator</t>
    </r>
  </si>
  <si>
    <t>Genus</t>
  </si>
  <si>
    <t>Species</t>
  </si>
  <si>
    <r>
      <rPr>
        <rFont val="Calibri"/>
        <b/>
        <color theme="1"/>
        <sz val="11.0"/>
      </rPr>
      <t xml:space="preserve">Sexe / </t>
    </r>
    <r>
      <rPr>
        <rFont val="Calibri"/>
        <b/>
        <i/>
        <color theme="1"/>
        <sz val="11.0"/>
      </rPr>
      <t>Sex</t>
    </r>
  </si>
  <si>
    <r>
      <rPr>
        <rFont val="Calibri"/>
        <b/>
        <color theme="1"/>
        <sz val="11.0"/>
      </rPr>
      <t xml:space="preserve">Levensfase / </t>
    </r>
    <r>
      <rPr>
        <rFont val="Calibri"/>
        <b/>
        <i/>
        <color theme="1"/>
        <sz val="11.0"/>
      </rPr>
      <t>Lifestage</t>
    </r>
  </si>
  <si>
    <t>Sex</t>
  </si>
  <si>
    <t>Lifestage</t>
  </si>
  <si>
    <r>
      <rPr>
        <rFont val="Calibri"/>
        <b/>
        <color theme="1"/>
        <sz val="11.0"/>
      </rPr>
      <t xml:space="preserve">Naam verzamelaar / </t>
    </r>
    <r>
      <rPr>
        <rFont val="Calibri"/>
        <b/>
        <i/>
        <color theme="1"/>
        <sz val="11.0"/>
      </rPr>
      <t>collector name</t>
    </r>
  </si>
  <si>
    <r>
      <rPr>
        <rFont val="Arial"/>
        <b/>
        <color theme="1"/>
        <sz val="11.0"/>
      </rPr>
      <t xml:space="preserve">Verzameldatum start (dd/mm/jjjj)/ </t>
    </r>
    <r>
      <rPr>
        <rFont val="Arial"/>
        <b/>
        <i/>
        <color theme="1"/>
        <sz val="11.0"/>
      </rPr>
      <t>Collecting date start (dd/mm/yyyy)</t>
    </r>
  </si>
  <si>
    <r>
      <rPr>
        <rFont val="Calibri"/>
        <b/>
        <color theme="1"/>
        <sz val="11.0"/>
      </rPr>
      <t xml:space="preserve">Verzameldatum einde (dd/mm/jjjj) / </t>
    </r>
    <r>
      <rPr>
        <rFont val="Calibri"/>
        <b/>
        <i/>
        <color theme="1"/>
        <sz val="11.0"/>
      </rPr>
      <t>Collecting date end (dd/mm/yyyy)</t>
    </r>
  </si>
  <si>
    <t>Verzameltijd (hh:mm:ss) / Collection time (hh:mm:ss)</t>
  </si>
  <si>
    <t>Collecting date (dd/mm/yyyy)</t>
  </si>
  <si>
    <r>
      <rPr>
        <rFont val="Calibri"/>
        <b/>
        <color theme="1"/>
        <sz val="11.0"/>
      </rPr>
      <t xml:space="preserve">Locatie (plek, plaats, gemeente, provincie, Nederland, Postcode) / </t>
    </r>
    <r>
      <rPr>
        <rFont val="Calibri"/>
        <b/>
        <i/>
        <color theme="1"/>
        <sz val="11.0"/>
      </rPr>
      <t>Location (location, town, municipality, province, Nederland, Postal Code)</t>
    </r>
  </si>
  <si>
    <r>
      <rPr>
        <rFont val="Calibri"/>
        <b/>
        <color theme="1"/>
        <sz val="11.0"/>
      </rPr>
      <t xml:space="preserve">Opmerkingen locatie / </t>
    </r>
    <r>
      <rPr>
        <rFont val="Calibri"/>
        <b/>
        <i/>
        <color theme="1"/>
        <sz val="11.0"/>
      </rPr>
      <t>Location remarks</t>
    </r>
  </si>
  <si>
    <t>Location (location, town, municipality, province, Nederland, Postal Code)</t>
  </si>
  <si>
    <r>
      <rPr>
        <rFont val="Calibri"/>
        <b/>
        <color theme="1"/>
        <sz val="11.0"/>
      </rPr>
      <t>Biotoop /</t>
    </r>
    <r>
      <rPr>
        <rFont val="Calibri"/>
        <b/>
        <i/>
        <color theme="1"/>
        <sz val="11.0"/>
      </rPr>
      <t xml:space="preserve"> Biotope</t>
    </r>
  </si>
  <si>
    <t>Breedtegraad / Latitude</t>
  </si>
  <si>
    <r>
      <rPr>
        <rFont val="Calibri"/>
        <b/>
        <color theme="1"/>
        <sz val="11.0"/>
      </rPr>
      <t xml:space="preserve">Hoogtegraad / </t>
    </r>
    <r>
      <rPr>
        <rFont val="Calibri"/>
        <b/>
        <i/>
        <color theme="1"/>
        <sz val="11.0"/>
      </rPr>
      <t>Longitude</t>
    </r>
  </si>
  <si>
    <t>Latitude</t>
  </si>
  <si>
    <r>
      <rPr>
        <rFont val="Calibri"/>
        <b/>
        <color theme="1"/>
        <sz val="11.0"/>
      </rPr>
      <t xml:space="preserve">Hoogte boven zeeniveAau (meters)/ </t>
    </r>
    <r>
      <rPr>
        <rFont val="Calibri"/>
        <b/>
        <i/>
        <color theme="1"/>
        <sz val="11.0"/>
      </rPr>
      <t>Altitude above sea level (meters)</t>
    </r>
  </si>
  <si>
    <t>Longitude</t>
  </si>
  <si>
    <t>Altitude above sea level (meters)</t>
  </si>
  <si>
    <r>
      <rPr>
        <rFont val="Calibri"/>
        <b/>
        <color theme="1"/>
        <sz val="11.0"/>
      </rPr>
      <t xml:space="preserve">Organisatie / </t>
    </r>
    <r>
      <rPr>
        <rFont val="Calibri"/>
        <b/>
        <i/>
        <color theme="1"/>
        <sz val="11.0"/>
      </rPr>
      <t>organisation</t>
    </r>
  </si>
  <si>
    <t>ImageUrl</t>
  </si>
  <si>
    <t>link naar foto / ImageUrl</t>
  </si>
  <si>
    <t>Projectnaam / Project name</t>
  </si>
  <si>
    <t>ACJ2026.VGA.Cy.1</t>
  </si>
  <si>
    <t>RMNH.#######</t>
  </si>
  <si>
    <t>PreservedSpecimen</t>
  </si>
  <si>
    <t>wet specimen</t>
  </si>
  <si>
    <t>Cycas</t>
  </si>
  <si>
    <t>Alcohol 96%</t>
  </si>
  <si>
    <t>revoluta</t>
  </si>
  <si>
    <t>Whole organism</t>
  </si>
  <si>
    <t>NA</t>
  </si>
  <si>
    <t>Adult</t>
  </si>
  <si>
    <t>Nederland</t>
  </si>
  <si>
    <t>National Bomenmuseum Gimborn, Velperengh 13, Doorn 3941 BZ, Netherlands</t>
  </si>
  <si>
    <t>https://drive.google.com/file/d/10xDohyfV42HxU_Dai2P943goBl7Di0Cv/view?usp=sharing</t>
  </si>
  <si>
    <t>ACJ2026.VGA.Di.1</t>
  </si>
  <si>
    <t>Dioon</t>
  </si>
  <si>
    <t>edule</t>
  </si>
  <si>
    <t>https://drive.google.com/file/d/1PJvESSCJWtnZLAPVebwjR9_crO4vw086/view?usp=sharing</t>
  </si>
  <si>
    <t>ACJ2026.VGA.Di.2</t>
  </si>
  <si>
    <t>Juvenile</t>
  </si>
  <si>
    <t>https://drive.google.com/file/d/1tydOWe9DiTZvo9XhVyBirqlXAYfyDQBN/view?usp=sharing</t>
  </si>
  <si>
    <t>ACJ2026.VGA.Di.3</t>
  </si>
  <si>
    <t>ACJ2026.VGA.En.1</t>
  </si>
  <si>
    <t>Encephalartos</t>
  </si>
  <si>
    <t>natalensis</t>
  </si>
  <si>
    <t>Male</t>
  </si>
  <si>
    <t>https://drive.google.com/file/d/1vreupcriXhxTF6HeuHvQhci6boWGhRKZ/view?usp=sharing</t>
  </si>
  <si>
    <t>ACJ2026.VGA. Cy.2</t>
  </si>
  <si>
    <t>https://drive.google.com/file/d/1z5m5n3aTVmMhk3AbRBlkStqmruR8U1Wn/view?usp=sharing</t>
  </si>
  <si>
    <t>ACJ2026.VGA. Cy.3</t>
  </si>
  <si>
    <t>https://drive.google.com/file/d/1vQtCBdqlgRWb_916iynsLvlH3tkcIc0F/view?usp=sharing</t>
  </si>
  <si>
    <t>ACJ2026.ROTT.Ma.1</t>
  </si>
  <si>
    <t>Macrozamia</t>
  </si>
  <si>
    <t>moorei</t>
  </si>
  <si>
    <t>Diergaarde Blijdorp Rotterdam Zoo, Stadhoudersweg 200, Rotterdam, Zuid Holland 3041 JJ, Netherlands</t>
  </si>
  <si>
    <t>https://drive.google.com/file/d/1bLppl9WPRRcTEp5oxLsk8h2shHrLOUs1/view?usp=sharing</t>
  </si>
  <si>
    <t>ACJ2026.ROTT.En.1</t>
  </si>
  <si>
    <t>sp.</t>
  </si>
  <si>
    <t>https://drive.google.com/file/d/11lFIE6XF2Q07vHnn-LEybeeSRZ9tqqWB/view?usp=sharing</t>
  </si>
  <si>
    <t>ACJ2026.ROTT.En.2</t>
  </si>
  <si>
    <t>manikensis</t>
  </si>
  <si>
    <t>https://drive.google.com/file/d/1XWQjfzfHQO6xkORk6MxLKSd-NCdQ6kRv/view?usp=sharing</t>
  </si>
  <si>
    <t>ACJ2026.ROTT.Di.1</t>
  </si>
  <si>
    <t>https://drive.google.com/file/d/1NklwJRq5hZlg3dgTjVP05sUGyS5pi9ee/view?usp=sharing</t>
  </si>
  <si>
    <t>ACJ2026.ROTT.Di.2</t>
  </si>
  <si>
    <t>https://drive.google.com/file/d/1yCiFYXwojrHnYrZysqOYtxEpdAI9sGgF/view?usp=sharing</t>
  </si>
  <si>
    <t>ACJ2026.ROTT.En.3</t>
  </si>
  <si>
    <t>ferox</t>
  </si>
  <si>
    <t>https://drive.google.com/file/d/1evLg-PvxArLahlqfdn5sH9WO6_0XKxl7/view?usp=sharing</t>
  </si>
  <si>
    <t>ACJ2026.ROTT.En.4</t>
  </si>
  <si>
    <t>altensteinii</t>
  </si>
  <si>
    <t>https://drive.google.com/file/d/1wOr9LB-sDVGhMsabBB36xweboL05Vh5g/view?usp=sharing</t>
  </si>
  <si>
    <t>ACJ2026.ROTT.Cy.1</t>
  </si>
  <si>
    <t>https://drive.google.com/file/d/1ZpY1AIQeDeEPYAybOHnlne4183hw7Zfo/view?usp=sharing</t>
  </si>
  <si>
    <t>ACJ2026.ROTT.Cy.2</t>
  </si>
  <si>
    <t>https://drive.google.com/file/d/1W9Ldby3phlMXk2gr3q_J1zgNzVUxXcEB/view?usp=sharing</t>
  </si>
  <si>
    <t>ACJ2026.AMD.En.1</t>
  </si>
  <si>
    <t>trispinosus</t>
  </si>
  <si>
    <t>Hortus Botanicus Amsterdam, Plantage Middenlaan 2a, Amsterdam 1018 DD, Netherlands</t>
  </si>
  <si>
    <t>https://drive.google.com/file/d/10M1U97BOszjxgap-cmGjxwkSWaVSA740/view?usp=sharing</t>
  </si>
  <si>
    <t>ACJ2026.AMD.En.2</t>
  </si>
  <si>
    <t>arenarius</t>
  </si>
  <si>
    <t>https://drive.google.com/file/d/1zMcl6oII0-qoqpNCa6eVhdmdrOH_kkoD/view?usp=sharing</t>
  </si>
  <si>
    <t>ACJ2026.AMD.Di.1</t>
  </si>
  <si>
    <t>spinulosum</t>
  </si>
  <si>
    <t>ACJ2026.AMD.Za.1</t>
  </si>
  <si>
    <t>Zamia</t>
  </si>
  <si>
    <t>fairchildiana</t>
  </si>
  <si>
    <t>https://drive.google.com/file/d/1ydBUFUkAcrSTqTmmkmOIxtg_RDbfEQ9R/view?usp=sharing</t>
  </si>
  <si>
    <t>ACJ2026.AMD.En.3</t>
  </si>
  <si>
    <t>senticosus</t>
  </si>
  <si>
    <t>https://drive.google.com/file/d/1k6RR97DE5IAqZWHUSJyvSHjr0YLW9VIB/view?usp=sharing</t>
  </si>
  <si>
    <t>ACJ2026.AMD.Di.2</t>
  </si>
  <si>
    <t>pectinatum</t>
  </si>
  <si>
    <t>https://drive.google.com/file/d/1DhtbWU2ZIWjbm7Vc9GO2wN1wFSTOYKRe/view?usp=sharing</t>
  </si>
  <si>
    <t>ACJ2026.AMD.Cy.1</t>
  </si>
  <si>
    <t>riuminiana</t>
  </si>
  <si>
    <t>https://drive.google.com/file/d/11SOIDplOBbQZ1ZMVMb7bSTCFqDNDWIfn/view?usp=sharing</t>
  </si>
  <si>
    <t>ACJ2026.AMD.Cy.2</t>
  </si>
  <si>
    <t>https://drive.google.com/file/d/1N002qRixab8NnfK06LXe0HnHRbtAtLCt/view?usp=sharing</t>
  </si>
  <si>
    <t>ACJ2026.AMD.Cy.3</t>
  </si>
  <si>
    <t>petraea</t>
  </si>
  <si>
    <t>https://drive.google.com/file/d/19DetHgIHMCY9swxO_C0StbWMhnJ8AM2E/view?usp=sharing</t>
  </si>
  <si>
    <t>ACJ2026.AMD.Cy.4</t>
  </si>
  <si>
    <t>javana</t>
  </si>
  <si>
    <t>ACJ2026.AMD.Za.2</t>
  </si>
  <si>
    <t>furfuracea</t>
  </si>
  <si>
    <t>https://drive.google.com/file/d/1MZ35DNuPjKqzovVEY3Rjr1ciZLe2fSrh/view?usp=sharing</t>
  </si>
  <si>
    <t>ACJ2026.AMD.Cy.5</t>
  </si>
  <si>
    <t>https://drive.google.com/file/d/1mculi44RA3sQ6nEAaQMig21Z-isX8yO5/view?usp=sharing</t>
  </si>
  <si>
    <t>ACJ2026.AMD.Za.3</t>
  </si>
  <si>
    <t>skinnerii</t>
  </si>
  <si>
    <t>https://drive.google.com/file/d/1iT5Vjt5pzixBIjx4MccUkW-7Ue3UBfrx/view?usp=sharing</t>
  </si>
  <si>
    <t>ACJ2026.AMD.Za.4</t>
  </si>
  <si>
    <t>https://drive.google.com/file/d/18_EzeO6EZedq62HN4b8UT3WjXua6AHWM/view?usp=sharing</t>
  </si>
  <si>
    <t>ACJ2026.AMD.Cy.6</t>
  </si>
  <si>
    <t>curranii</t>
  </si>
  <si>
    <t>https://drive.google.com/file/d/1n5gTpd9ImvBz0cQvatTMGOrtKpTJ2mcH/view?usp=sharing</t>
  </si>
  <si>
    <t>ACJ2026.AMD.Za.5</t>
  </si>
  <si>
    <t>https://drive.google.com/file/d/1Y50osa2LLiVFM6W2mpu9k3W1GboCD4vZ/view?usp=sharing</t>
  </si>
  <si>
    <t>ACJ2026.AMD.En.4</t>
  </si>
  <si>
    <t>https://drive.google.com/file/d/1W5oVj4nI8rhEZs82rhkl0yABCkejYh-K/view?usp=sharing</t>
  </si>
  <si>
    <t>ACJ2026.AMD.Za.6</t>
  </si>
  <si>
    <t>https://drive.google.com/file/d/10wZ4FEpIbWVDmByXVy19LI2pUOqCBt16/view?usp=sharing</t>
  </si>
  <si>
    <t>ACJ2026.AMD.Za.7</t>
  </si>
  <si>
    <t>https://drive.google.com/file/d/1oPXqngiBCEhLi_OYp4w7tP145B9mzAgq/view?usp=sharing</t>
  </si>
  <si>
    <t>ACJ2026.AMD.Za.8</t>
  </si>
  <si>
    <t>https://drive.google.com/file/d/1FDt7aWoQGRYYLz6jWb7AmCMHrqbUjC0R/view?usp=sharing</t>
  </si>
  <si>
    <t>ACJ2026.AMD.Za.9</t>
  </si>
  <si>
    <t>https://drive.google.com/file/d/1nIEsh4OdiAmA3DlYOCsoct1U6mK_k88w/view?usp=sharing</t>
  </si>
  <si>
    <t>ACJ2026.AMD.En.5</t>
  </si>
  <si>
    <t>horridus</t>
  </si>
  <si>
    <t>ACJ2026.AMD.Di.3</t>
  </si>
  <si>
    <t>https://drive.google.com/file/d/1skUrwpqMb-H3dte1rl1O9uzxGNCTIHFD/view?usp=sharing</t>
  </si>
  <si>
    <t>ACJ2026.AMD.En.6</t>
  </si>
  <si>
    <t>Female</t>
  </si>
  <si>
    <t>https://drive.google.com/file/d/1vCPhRNHq1n8KPsqCi_tmvH6wRuc_PGhH/view?usp=sharing</t>
  </si>
  <si>
    <t>ACJ2026.AMD.Cy.7</t>
  </si>
  <si>
    <t>rumphii</t>
  </si>
  <si>
    <t>https://drive.google.com/file/d/1tYmhuMhZAwAaJ3wxQi0xntjFc-nonP9N/view?usp=sharing</t>
  </si>
  <si>
    <t>ACJ2026.AMD.En.7</t>
  </si>
  <si>
    <t>lebomboensis</t>
  </si>
  <si>
    <t>ACJ2026.AMD.Cy.8</t>
  </si>
  <si>
    <t>siamensis</t>
  </si>
  <si>
    <t>ACJ2026.AMD.En.8</t>
  </si>
  <si>
    <t>https://drive.google.com/file/d/1YsDW27DYDEgxERHVpn1KXNTKwmaGZI1B/view?usp=sharing</t>
  </si>
  <si>
    <t>ACJ2026.AMD.En.9</t>
  </si>
  <si>
    <t>lehmannii</t>
  </si>
  <si>
    <t>https://drive.google.com/file/d/1fs7cSBLDuJ7GupPhfDAHoWRGn4qc4-Ig/view?usp=sharing</t>
  </si>
  <si>
    <t>ACJ2026.AMD.Mi.1</t>
  </si>
  <si>
    <t>Microcycas</t>
  </si>
  <si>
    <t>calocoma</t>
  </si>
  <si>
    <t>https://drive.google.com/file/d/1pzPaLb2lZGIKxF410yvivGTDcTZf6Khf/view?usp=sharing</t>
  </si>
  <si>
    <t>ACJ2026.AMD.En.19</t>
  </si>
  <si>
    <t>https://drive.google.com/file/d/1tX9xlzz370LPTgVYj9nPJoiMfIggTqOz/view?usp=sharing</t>
  </si>
  <si>
    <t>ACJ2026.AMD.En.10</t>
  </si>
  <si>
    <t>https://drive.google.com/file/d/1-1nVeAhX8oUoVEDeUKO4P8YuGpduRkt4/view?usp=sharing</t>
  </si>
  <si>
    <t>ACJ2026.AMD.En.11</t>
  </si>
  <si>
    <t>woodii</t>
  </si>
  <si>
    <t>https://drive.google.com/file/d/1CWijnodlurUg_BtM1csRWci__fpY_H1-/view?usp=sharing</t>
  </si>
  <si>
    <t>ACJ2026.AMD.Cy.9</t>
  </si>
  <si>
    <t>thouarsii</t>
  </si>
  <si>
    <t>https://drive.google.com/file/d/1_EvkplqnaNJALHfgaNGfjA1RWfR1YGnV/view?usp=sharing</t>
  </si>
  <si>
    <t>ACJ2026.AMD.En.12</t>
  </si>
  <si>
    <t>concinnus</t>
  </si>
  <si>
    <t>https://drive.google.com/file/d/1-pjx9CiDTXWGQ0-nzXzLIA-2Id2ZgKvd/view?usp=sharing</t>
  </si>
  <si>
    <t>ACJ2026.AMD.Ce.1</t>
  </si>
  <si>
    <t>Ceratozamia</t>
  </si>
  <si>
    <t>https://drive.google.com/file/d/1hCT1QEonvsrrTbNLTWDU7Z7tXbkOgFs9/view?usp=sharing</t>
  </si>
  <si>
    <t>ACJ2026.AMD.En.13</t>
  </si>
  <si>
    <t>ACJ2026.AMD.Di.4</t>
  </si>
  <si>
    <t>ACJ2026.AMD.Di.5</t>
  </si>
  <si>
    <t>edule var. edule</t>
  </si>
  <si>
    <t>https://dehortus.gardenexplorer.org/taxon-13901.aspx</t>
  </si>
  <si>
    <t>ACJ2026.AMD.En.14</t>
  </si>
  <si>
    <t>https://drive.google.com/file/d/1L7u6Wn--7qqcw5NUuYKmtHPXWLcRo7Vh/view?usp=sharing</t>
  </si>
  <si>
    <t>ACJ2026.AMD.En.15</t>
  </si>
  <si>
    <t>https://drive.google.com/file/d/1HODIpjGDydzgGBX6rkCWqWwyhDB6e2Ww/view?usp=sharing</t>
  </si>
  <si>
    <t>ACJ2026.AMD.En.16</t>
  </si>
  <si>
    <t>ACJ2026.AMD.En.17</t>
  </si>
  <si>
    <t>https://drive.google.com/file/d/1hReHTp7tPrCnotzRWuh0cuwX3gms3FwN/view?usp=sharing</t>
  </si>
  <si>
    <t>ACJ2026.AMD.Di.6</t>
  </si>
  <si>
    <t>https://drive.google.com/file/d/1E8IiUSUEhegTIEj1bhSTmbwTsSBLw1qr/view?usp=sharing</t>
  </si>
  <si>
    <t>ACJ2026.AMD.Ma.1</t>
  </si>
  <si>
    <t>ACJ2026.AMD.En.18</t>
  </si>
  <si>
    <t>https://drive.google.com/file/d/15tq6j-GtMJDYrLNGFrwm9ub2eX95Fv7r/view?usp=sharing</t>
  </si>
  <si>
    <t>ACJ2026.AMD.Cy.10</t>
  </si>
  <si>
    <t>https://drive.google.com/file/d/1NSPM5wbi57835jGU2njgr6fyyLHpjViQ/view?usp=sharing</t>
  </si>
  <si>
    <t>ACJ2026.AMD.Cy.11</t>
  </si>
  <si>
    <t>ACJ2026.AMD.Cy.12</t>
  </si>
  <si>
    <t>ACJ2026.AMD.Cy.13</t>
  </si>
  <si>
    <t>ACJ2026.HELDE.En.1</t>
  </si>
  <si>
    <t>Hortus Overzee, Soembastraat 83, Den Helder, Noord-Holland 1782SM, Netherlands</t>
  </si>
  <si>
    <t>https://drive.google.com/file/d/1Nhqw3w7Dpi6uiDDWwRxZJvyCHEnH8j6C/view?usp=sharing</t>
  </si>
  <si>
    <t>ACJ2026.HELDE.Za.1</t>
  </si>
  <si>
    <t>https://drive.google.com/file/d/1CBIq6iE8tdV_kDtF7kjW6Xh7FKLEyQct/view?usp=sharing</t>
  </si>
  <si>
    <t>ACJ2026.HELDE.En.2</t>
  </si>
  <si>
    <t>villosus</t>
  </si>
  <si>
    <t>https://drive.google.com/file/d/1ddRu6qY2CfQMlWgLOFHxsTO2Ke63D6nB/view?usp=sharing</t>
  </si>
  <si>
    <t>ACJ2026.HELDE.Cy.1</t>
  </si>
  <si>
    <t>https://drive.google.com/file/d/1aCgv9KaXTrhmYkBleT3UEkTq1h73BUnh/view?usp=sharing</t>
  </si>
  <si>
    <t>ACJ2026.HELDE.Ma.1</t>
  </si>
  <si>
    <t>https://drive.google.com/file/d/1syqQ4jMb2T_jR_zG34B6Xs6wj6iEtrAl/view?usp=sharing</t>
  </si>
  <si>
    <t>ACJ2026.HELDE.Cy.2</t>
  </si>
  <si>
    <t>https://drive.google.com/file/d/1zVvG3XB9AkHeU-7EwYnz7NimogDOg7Eh/view?usp=sharing</t>
  </si>
  <si>
    <t>ACJ2026.HELDE.Cy.3</t>
  </si>
  <si>
    <t>https://drive.google.com/file/d/1E3jUmxrz92uV3MGU70JCRYs7ImdDKNdG/view?usp=sharing</t>
  </si>
  <si>
    <t>ACJ2026.HELDE.En.3</t>
  </si>
  <si>
    <t>https://drive.google.com/file/d/18_ZubIlRCsE3A0gn3Fqt5dRAs5CvDqga/view?usp=sharing</t>
  </si>
  <si>
    <t>ACJ2026.HELDE.Cy.4</t>
  </si>
  <si>
    <t>https://drive.google.com/file/d/1BAHnehmHnYRXzXPjR2LHHfnS2f9_OPbF/view?usp=sharing</t>
  </si>
  <si>
    <t>ACJ2026.HELDE.Cy.5</t>
  </si>
  <si>
    <t>https://drive.google.com/file/d/1dNvkKBdYstvuH8PHm5TDtTGhqF7Ljr_f/view?usp=sharing</t>
  </si>
  <si>
    <t>ACJ2026.HELDE.Cy.6</t>
  </si>
  <si>
    <t>https://drive.google.com/file/d/1qBQk1BhGdccjVHpbFmdSt6uqFYjNu8wL/view?usp=sharing</t>
  </si>
  <si>
    <t>ACJ2026.HELDE.Cy.7</t>
  </si>
  <si>
    <t>https://drive.google.com/file/d/1N4BE-LgWUM6SCKVOqRRjZVYzjkKorc9B/view?usp=sharing</t>
  </si>
  <si>
    <t>ACJ2026.HELDE.Cy.8</t>
  </si>
  <si>
    <t>https://drive.google.com/file/d/1v9lptR-K7Q8QSJciFtuiC5YB_zBcHxxr/view?usp=sharing</t>
  </si>
  <si>
    <t>ACJ2026.HELDE.Cy.9</t>
  </si>
  <si>
    <t>https://drive.google.com/file/d/12zAd4kvpPFzOzCNybMAm2jr5OjiOkVN6/view?usp=sharing</t>
  </si>
  <si>
    <t>ACJ2026.HELDE.Di.1</t>
  </si>
  <si>
    <t>https://drive.google.com/file/d/1s1x9_YnUYfP4kF3OPkVQ878ShiVQl7vo/view?usp=sharing</t>
  </si>
  <si>
    <t>ACJ2026.HELDE.En.4</t>
  </si>
  <si>
    <t>https://drive.google.com/file/d/1UQgps6ASX4SbwaeuvPgy6xIhXA1SfbAi/view?usp=sharing</t>
  </si>
  <si>
    <t>ACJ2026.GRO.En.1</t>
  </si>
  <si>
    <t>Hortus Haren, Kerklaan 34, Haren 9751 NN, Netherlands</t>
  </si>
  <si>
    <t>ACJ2026.GRO.Cy.1</t>
  </si>
  <si>
    <t>https://drive.google.com/file/d/1GptOOtuDnDIPcOKDVfSW_kxt0VT2agLF/view?usp=sharing</t>
  </si>
  <si>
    <t>ACJ2026.GRO.Cy.2</t>
  </si>
  <si>
    <t>https://drive.google.com/file/d/1buicfv7etp6ivGrvqjxzRNqnblzjFOyf/view?usp=sharing</t>
  </si>
  <si>
    <t>ACJ2026.GRO.Cy.3</t>
  </si>
  <si>
    <t>https://drive.google.com/file/d/1g-f6nDMqv-_WVJXYSVPG24NIGGzuHYpP/view?usp=sharing</t>
  </si>
  <si>
    <t>ACJ2026.GRO.Cy.4</t>
  </si>
  <si>
    <t>https://drive.google.com/file/d/1Bfl558ocPxWRuQgPahj6nBh7jZ7amYEQ/view?usp=sharing</t>
  </si>
  <si>
    <t>ACJ2026.GRO.Cy.5</t>
  </si>
  <si>
    <t>https://drive.google.com/file/d/1R8rn0bZGDlnMG8iYw8PYkq-8LtnMbP8b/view?usp=sharing</t>
  </si>
  <si>
    <t>ACJ2026.GRO.Ma.1</t>
  </si>
  <si>
    <t>https://drive.google.com/file/d/1hIe4GLdiFm5bgC6NJbfL7gZ2bMR71ny3/view?usp=sharing</t>
  </si>
  <si>
    <t>ACJ2026.GRO.Cy.6</t>
  </si>
  <si>
    <t>circinalis</t>
  </si>
  <si>
    <t>https://drive.google.com/file/d/1eLnS5lK-na_4lzROhZvJ1th12drRZomx/view?usp=sharing</t>
  </si>
  <si>
    <t>ACJ2026.HILVE.En.1</t>
  </si>
  <si>
    <t>aplanatus</t>
  </si>
  <si>
    <t>Pinetum Blijdenstein, Hilversum 1200 AA, Netherlands</t>
  </si>
  <si>
    <t>https://drive.google.com/file/d/1Jn2c_qxnrQNxohKjTkKSic0Z4wILazYq/view?usp=sharing</t>
  </si>
  <si>
    <t>ACJ2026.HILVE.En.2</t>
  </si>
  <si>
    <t>https://drive.google.com/file/d/1MkULxhPjSF2c72tsqX_Ms3aqSzNysNJd/view?usp=sharing</t>
  </si>
  <si>
    <t>ACJ2026.HILVE.En.3</t>
  </si>
  <si>
    <t>sp</t>
  </si>
  <si>
    <t>https://drive.google.com/file/d/1-KulTUzb7NmC2pq5ycE_GB2EADyGzXyK/view?usp=sharing</t>
  </si>
  <si>
    <t>ACJ2026.HILVE.Ce.1</t>
  </si>
  <si>
    <t>mexicana</t>
  </si>
  <si>
    <t>https://drive.google.com/file/d/1c53h8K3SbU9HY5ZtIWd-6spJuH94BShE/view?usp=sharing</t>
  </si>
  <si>
    <t>ACJ.2026.HILVE.Di.1</t>
  </si>
  <si>
    <t>https://drive.google.com/file/d/1OnigpPofNDgqv03JJXjXMVJJDYHvkMDs/view?usp=sharing</t>
  </si>
  <si>
    <t>ACJ2026.HILVE.En.4</t>
  </si>
  <si>
    <t>https://drive.google.com/file/d/1OFuQ_BGCPmNn4PjvxtDLtcGkEZiu7Rm3/view?usp=sharing</t>
  </si>
  <si>
    <t>ACJ2026.HILVE.En.5</t>
  </si>
  <si>
    <t>https://drive.google.com/file/d/1GETdfCUnSr3XVBQaoUujFT1bZ4C3fBCF/view?usp=sharing</t>
  </si>
  <si>
    <t>ACJ2026.HILVE.Cy.1</t>
  </si>
  <si>
    <t>chamaoensis</t>
  </si>
  <si>
    <t>https://drive.google.com/file/d/11JkQZI3-OBs3s5I98Ad9I9uM1Qj6kz9A/view?usp=sharing</t>
  </si>
  <si>
    <t>ACJ2026.HILVE.Cy.2</t>
  </si>
  <si>
    <t>https://drive.google.com/file/d/1r9cAVmVL4CpplGUSUQKip-Rs63CWZujQ/view?usp=sharing</t>
  </si>
  <si>
    <t>ACJ.2026.HILVE.Di.2</t>
  </si>
  <si>
    <t>https://drive.google.com/file/d/1Jc_IXs4PJyo1omghws2XpuCH5NFzJcg5/view?usp=sharing</t>
  </si>
  <si>
    <t>ACJ2026.HILVE.Cy.3</t>
  </si>
  <si>
    <t>media</t>
  </si>
  <si>
    <t>https://drive.google.com/file/d/1HghBDFeWeTmwyjzGbQRhnCCNpGyzaS5d/view?usp=sharing</t>
  </si>
  <si>
    <t>ACJ2026.HILVE.En.6</t>
  </si>
  <si>
    <t>https://drive.google.com/file/d/12tdN0Y_PJCmbyfGrZUTGa31genFX1Sa-/view?usp=sharing</t>
  </si>
  <si>
    <t>ACJ2026.HILVE.Cy.4</t>
  </si>
  <si>
    <t>https://drive.google.com/file/d/1uvwIUU-TfP1JxQqguWLsjjE2F6fvhjhn/view?usp=sharing</t>
  </si>
  <si>
    <t>ACJ2026.HILVE.En.7</t>
  </si>
  <si>
    <t>https://drive.google.com/file/d/1EyhSa52m-cT3EFuwcpeNHVd6QyQDTjxY/view?usp=sharing</t>
  </si>
  <si>
    <t>ACJ2026.HILVE.En.8</t>
  </si>
  <si>
    <t>https://drive.google.com/file/d/1wt61AItnFj9HWWqVA6UYxLglBn61YqYA/view?usp=sharing</t>
  </si>
  <si>
    <t>ACJ2026.HILVE.Cy.5</t>
  </si>
  <si>
    <t>panzihuaensis</t>
  </si>
  <si>
    <t>https://drive.google.com/file/d/1NhKe_Nf17YGCFUCnYCBaDON03aMc4o6a/view?usp=sharing</t>
  </si>
  <si>
    <t>ACJ2026.HILVE.En.9</t>
  </si>
  <si>
    <t>cerinus</t>
  </si>
  <si>
    <t>https://drive.google.com/file/d/1juc3AGe4g9ne0KFNwGuOTBWNGFsPz9Wn/view?usp=sharing</t>
  </si>
  <si>
    <t>ACJ2026.HILVE.Za.1</t>
  </si>
  <si>
    <t>https://drive.google.com/file/d/1dPezFAi2Ozo9N2Jd1O24ftNdWD94KYzJ/view?usp=sharing</t>
  </si>
  <si>
    <t>ACJ2026.HILVE.En.10</t>
  </si>
  <si>
    <t>transvenosus</t>
  </si>
  <si>
    <t>https://drive.google.com/file/d/11r08aDGuzZC9UKBq1NOSdTXGuXyAyAiQ/view?usp=sharing</t>
  </si>
  <si>
    <t>ACJ2026.HILVE.Cy.6</t>
  </si>
  <si>
    <t>https://drive.google.com/file/d/1em_ufsbiBieAjp1NPouJEDMKglPOQp6v/view?usp=sharing</t>
  </si>
  <si>
    <t>ACJ2026.HILVE.Cy.7</t>
  </si>
  <si>
    <t>https://drive.google.com/file/d/1gzUN-LCGV2-AFKdVryiJOfELoR6AmCUJ/view?usp=sharing</t>
  </si>
  <si>
    <t>ACJ2026.HILVE.En.11</t>
  </si>
  <si>
    <t>https://drive.google.com/file/d/10ghhucDJ9roBT1o1Y2V08NKu2oGHw9sJ/view?usp=sharing</t>
  </si>
  <si>
    <t>ACJ2026.HILVE.Cy.8</t>
  </si>
  <si>
    <t>guizhouensis</t>
  </si>
  <si>
    <t>https://drive.google.com/file/d/1pxIo-r1sHYT0rYhOiEqcubHrcJR4rPqW/view?usp=sharing</t>
  </si>
  <si>
    <t>ACJ2026.HILVE.En.12</t>
  </si>
  <si>
    <t>https://drive.google.com/file/d/1zaPxwFa6FNRuXLezWGQT89G4H_eCegsq/view?usp=sharing</t>
  </si>
  <si>
    <t>ACJ2026.HILVE.En.13</t>
  </si>
  <si>
    <t>https://drive.google.com/file/d/1nVuwzg_8lrv4ZpXMsi0WaI6TCKhaEFm_/view?usp=sharing</t>
  </si>
  <si>
    <t>ACJ2026.HILVE.Za.2</t>
  </si>
  <si>
    <t>https://drive.google.com/file/d/17imVG_FdBhe2wh28k1muEvmZpaKqStWh/view?usp=sharing</t>
  </si>
  <si>
    <t>ACJ2026.HILVE.Cy.9</t>
  </si>
  <si>
    <t>https://drive.google.com/file/d/1--Bus9XjPHlz9ErHj0-Np0HMspldTls0/view?usp=sharing</t>
  </si>
  <si>
    <t>ACJ2026.HILVE.Cy.10</t>
  </si>
  <si>
    <t>https://drive.google.com/file/d/1hfpPsnrVm9RgvnZLR4z3w6ZCU1ctKp_g/view?usp=sharing</t>
  </si>
  <si>
    <t>ACJ2026.HILVE.Cy.11</t>
  </si>
  <si>
    <t>edentata</t>
  </si>
  <si>
    <t>https://drive.google.com/file/d/1IaL_QQWOGWlvbnmgL6WXgco8fQMboZ4N/view?usp=sharing</t>
  </si>
  <si>
    <t>ACJ2026.HILVE.En.14</t>
  </si>
  <si>
    <t>https://drive.google.com/file/d/1X6b7vKxQQh8D24iQ9zVDUo2gYO1ele4S/view?usp=sharing</t>
  </si>
  <si>
    <t>ACJ2026.HILVE.En.15</t>
  </si>
  <si>
    <t>hildebrandtii</t>
  </si>
  <si>
    <t>https://drive.google.com/file/d/1SCEQcqRb8Rs_s8HlxghhAOQ04dXo6KRC/view?usp=sharing</t>
  </si>
  <si>
    <t>ACJ2026.HILVE.En.16</t>
  </si>
  <si>
    <t>https://drive.google.com/file/d/1DLj7PEXKkNktwOIJjGG1mu_gsQQhzo2g/view?usp=sharing</t>
  </si>
  <si>
    <t>ACJ2026.HILVE.Ma.1</t>
  </si>
  <si>
    <t>ACJ2026.HILVE.Cy.12</t>
  </si>
  <si>
    <t>https://drive.google.com/file/d/1C4l2EvKqiwARfW-4S2nhfR3dIwamwb4u/view?usp=sharing</t>
  </si>
  <si>
    <t>https://drive.google.com/file/d/13MGmg2NWrTGzHoPdMlWad-BasRgRamg8/view?usp=sharing</t>
  </si>
  <si>
    <t>ACJ.2026.HILVE.Di.3</t>
  </si>
  <si>
    <t>califanoi</t>
  </si>
  <si>
    <t>https://drive.google.com/file/d/1vyCrkY95RopcR8BW1OE5XBe20082QkmF/view?usp=sharing</t>
  </si>
  <si>
    <t>ACJ2026.HILVE.Ce.2</t>
  </si>
  <si>
    <t>kuesteriana</t>
  </si>
  <si>
    <t>https://drive.google.com/file/d/13i0J9FtMvBzp_3xa4ZOTbgZpM9WEbCCQ/view?usp=sharing</t>
  </si>
  <si>
    <t>ACJ2026.HILVE.En.17</t>
  </si>
  <si>
    <t>https://drive.google.com/file/d/1UNNoAASpT0f8O1KC8vIQzCqf511QkCjJ/view?usp=sharing</t>
  </si>
  <si>
    <t>ACJ.2026.HILVE.Di.4</t>
  </si>
  <si>
    <t>mejiae</t>
  </si>
  <si>
    <t>https://drive.google.com/file/d/1Ms3wZzkMRTfqXcis8ubdhkN6p6vgC7JO/view?usp=sharing</t>
  </si>
  <si>
    <t>ACJ.2026.HILVE.Di.5</t>
  </si>
  <si>
    <t>https://drive.google.com/file/d/13upwqNkjsuq4F0JhZ5Il85W6JwM4Mit4/view?usp=sharing</t>
  </si>
  <si>
    <t>ACJ2026.HILVE.Ce.3</t>
  </si>
  <si>
    <t>https://drive.google.com/file/d/10jeSL6lnyQ-mqJnTy2xdVl-u2pmiV8n7/view?usp=sharing</t>
  </si>
  <si>
    <t>ACJ2026.HILVE.En.18</t>
  </si>
  <si>
    <t>gratus</t>
  </si>
  <si>
    <t>https://drive.google.com/file/d/1J82s8cfabyGWkP0P495FbPmohO3daO5C/view?usp=sharing</t>
  </si>
  <si>
    <t>ACJ2026.HILVE.En.19</t>
  </si>
  <si>
    <t>https://drive.google.com/file/d/1Vemq8U651wu22ThU2OWXKSYtD3WiVQeQ/view?usp=sharing</t>
  </si>
  <si>
    <t>ACJ2026.HILVE.Ce.4</t>
  </si>
  <si>
    <t>hildae</t>
  </si>
  <si>
    <t>https://drive.google.com/file/d/1hTxuTD3o7k9vEQitNSK79ZFYqxuHL09E/view?usp=sharing</t>
  </si>
  <si>
    <t>ACJ2026.HILVE.Cy.13</t>
  </si>
  <si>
    <t>https://drive.google.com/file/d/1FFo8WoFDhtn3zoeXpSFBXjRjjLgVUk6c/view?usp=sharing</t>
  </si>
  <si>
    <t>ACJ2026.HILVE.Cy.14</t>
  </si>
  <si>
    <t>pectinata</t>
  </si>
  <si>
    <t>https://drive.google.com/file/d/1PzFOvjiCJQDmXo6n2vmilQlcvu9p_ns4/view?usp=sharing</t>
  </si>
  <si>
    <t>ACJ2026.HILVE.En.20</t>
  </si>
  <si>
    <t>https://drive.google.com/file/d/1GLQB-bptut-PzaHRG7UDqRorecsRgvfP/view?usp=sharing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</si>
</sst>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/mm\/yyyy"/>
    <numFmt numFmtId="165" formatCode="0.0000000"/>
  </numFmts>
  <fonts count="8">
    <font>
      <sz val="11.0"/>
      <color theme="1"/>
      <name val="Calibri"/>
      <scheme val="minor"/>
    </font>
    <font>
      <b/>
      <sz val="11.0"/>
      <color theme="1"/>
      <name val="Arial"/>
    </font>
    <font>
      <b/>
      <i/>
      <sz val="11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i/>
      <sz val="11.0"/>
      <color theme="1"/>
      <name val="Calibri"/>
    </font>
    <font>
      <i/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38761D"/>
        <bgColor rgb="FF38761D"/>
      </patternFill>
    </fill>
    <fill>
      <patternFill patternType="solid">
        <fgColor rgb="FFB7E1CD"/>
        <bgColor rgb="FFB7E1CD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ECECEC"/>
        <bgColor rgb="FFECECEC"/>
      </patternFill>
    </fill>
  </fills>
  <borders count="6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1" numFmtId="0" xfId="0" applyAlignment="1" applyBorder="1" applyFill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4" fontId="1" numFmtId="0" xfId="0" applyAlignment="1" applyBorder="1" applyFill="1" applyFont="1">
      <alignment shrinkToFit="0" wrapText="1"/>
    </xf>
    <xf borderId="1" fillId="5" fontId="1" numFmtId="0" xfId="0" applyAlignment="1" applyBorder="1" applyFill="1" applyFont="1">
      <alignment shrinkToFit="0" wrapText="1"/>
    </xf>
    <xf borderId="1" fillId="6" fontId="1" numFmtId="0" xfId="0" applyAlignment="1" applyBorder="1" applyFill="1" applyFont="1">
      <alignment shrinkToFit="0" wrapText="1"/>
    </xf>
    <xf borderId="1" fillId="2" fontId="2" numFmtId="0" xfId="0" applyAlignment="1" applyBorder="1" applyFill="1" applyFont="1">
      <alignment shrinkToFit="0" wrapText="1"/>
    </xf>
    <xf borderId="1" fillId="5" fontId="3" numFmtId="0" xfId="0" applyAlignment="1" applyBorder="1" applyFill="1" applyFont="1">
      <alignment shrinkToFit="0" wrapText="1"/>
    </xf>
    <xf borderId="1" fillId="3" fontId="3" numFmtId="0" xfId="0" applyAlignment="1" applyBorder="1" applyFill="1" applyFont="1">
      <alignment shrinkToFit="0" wrapText="1"/>
    </xf>
    <xf borderId="2" fillId="0" fontId="1" numFmtId="0" xfId="0" applyAlignment="1" applyBorder="1" applyFont="1">
      <alignment shrinkToFit="0" wrapText="1"/>
    </xf>
    <xf borderId="1" fillId="7" fontId="1" numFmtId="0" xfId="0" applyAlignment="1" applyBorder="1" applyFill="1" applyFont="1">
      <alignment shrinkToFit="0" wrapText="1"/>
    </xf>
    <xf borderId="3" fillId="0" fontId="1" numFmtId="0" xfId="0" applyAlignment="1" applyBorder="1" applyFont="1">
      <alignment shrinkToFit="0" wrapText="1"/>
    </xf>
    <xf borderId="4" fillId="3" fontId="3" numFmtId="0" xfId="0" applyAlignment="1" applyBorder="1" applyFill="1" applyFont="1">
      <alignment shrinkToFit="0" wrapText="1"/>
    </xf>
    <xf borderId="1" fillId="8" fontId="1" numFmtId="0" xfId="0" applyAlignment="1" applyBorder="1" applyFill="1" applyFont="1">
      <alignment shrinkToFit="0" wrapText="1"/>
    </xf>
    <xf borderId="0" fillId="0" fontId="4" numFmtId="0" xfId="0" applyFont="1"/>
    <xf borderId="1" fillId="8" fontId="1" numFmtId="2" xfId="0" applyAlignment="1" applyBorder="1" applyFill="1" applyFont="1" applyNumberFormat="1">
      <alignment shrinkToFit="0" wrapText="1"/>
    </xf>
    <xf borderId="5" fillId="9" fontId="5" numFmtId="0" xfId="0" applyAlignment="1" applyBorder="1" applyFill="1" applyFont="1">
      <alignment shrinkToFit="0" wrapText="1"/>
    </xf>
    <xf borderId="0" fillId="0" fontId="5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5" fillId="9" fontId="4" numFmtId="0" xfId="0" applyAlignment="1" applyBorder="1" applyFill="1" applyFont="1">
      <alignment shrinkToFit="0" wrapText="1"/>
    </xf>
    <xf borderId="0" fillId="0" fontId="5" numFmtId="1" xfId="0" applyFont="1" applyNumberFormat="1"/>
    <xf borderId="0" fillId="0" fontId="4" numFmtId="1" xfId="0" applyFont="1" applyNumberFormat="1"/>
    <xf borderId="3" fillId="0" fontId="2" numFmtId="0" xfId="0" applyAlignment="1" applyBorder="1" applyFont="1">
      <alignment readingOrder="0" shrinkToFit="0" wrapText="1"/>
    </xf>
    <xf borderId="0" fillId="0" fontId="5" numFmtId="1" xfId="0" applyAlignment="1" applyFont="1" applyNumberFormat="1">
      <alignment shrinkToFit="0" wrapText="1"/>
    </xf>
    <xf borderId="0" fillId="0" fontId="5" numFmtId="2" xfId="0" applyFont="1" applyNumberFormat="1"/>
    <xf borderId="0" fillId="0" fontId="6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7" numFmtId="1" xfId="0" applyFont="1" applyNumberFormat="1"/>
    <xf borderId="3" fillId="0" fontId="4" numFmtId="164" xfId="0" applyBorder="1" applyFont="1" applyNumberFormat="1"/>
    <xf borderId="0" fillId="0" fontId="4" numFmtId="164" xfId="0" applyFont="1" applyNumberFormat="1"/>
    <xf borderId="0" fillId="0" fontId="4" numFmtId="21" xfId="0" applyFont="1" applyNumberFormat="1"/>
    <xf borderId="0" fillId="0" fontId="4" numFmtId="2" xfId="0" applyFont="1" applyNumberFormat="1"/>
    <xf borderId="0" fillId="0" fontId="4" numFmtId="165" xfId="0" applyFont="1" applyNumberFormat="1"/>
    <xf borderId="3" fillId="0" fontId="4" numFmtId="0" xfId="0" applyBorder="1" applyFont="1"/>
    <xf borderId="5" fillId="0" fontId="4" numFmtId="0" xfId="0" applyBorder="1" applyFont="1"/>
    <xf borderId="5" fillId="0" fontId="7" numFmtId="0" xfId="0" applyBorder="1" applyFont="1"/>
    <xf borderId="5" fillId="0" fontId="4" numFmtId="2" xfId="0" applyBorder="1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hidden="1" min="2" max="2" width="6.29"/>
    <col customWidth="1" hidden="1" min="3" max="3" width="35.43"/>
    <col customWidth="1" hidden="1" min="4" max="4" width="21.57"/>
    <col customWidth="1" hidden="1" min="5" max="5" width="12.43"/>
    <col customWidth="1" hidden="1" min="6" max="6" width="15.86"/>
    <col customWidth="1" hidden="1" min="7" max="7" width="21.14"/>
    <col customWidth="1" min="8" max="8" width="14.71"/>
    <col customWidth="1" hidden="1" min="9" max="9" width="10.0"/>
    <col customWidth="1" hidden="1" min="10" max="10" width="0.14"/>
    <col customWidth="1" min="11" max="11" width="19.0"/>
    <col customWidth="1" hidden="1" min="12" max="12" width="19.71"/>
    <col customWidth="1" hidden="1" min="13" max="13" width="17.71"/>
    <col customWidth="1" hidden="1" min="14" max="14" width="13.14"/>
    <col customWidth="1" hidden="1" min="15" max="15" width="19.86"/>
    <col customWidth="1" hidden="1" min="16" max="18" width="8.71"/>
    <col customWidth="1" hidden="1" min="19" max="19" width="18.14"/>
    <col customWidth="1" hidden="1" min="20" max="29" width="8.71"/>
    <col customWidth="1" hidden="1" min="30" max="30" width="27.43"/>
    <col customWidth="1" hidden="1" min="31" max="31" width="35.43"/>
    <col customWidth="1" min="32" max="32" width="8.71"/>
    <col customWidth="1" min="33" max="33" width="11.86"/>
    <col customWidth="1" hidden="1" min="34" max="53" width="8.71"/>
    <col customWidth="1" hidden="1" min="54" max="54" width="18.43"/>
    <col customWidth="1" hidden="1" min="55" max="55" width="17.43"/>
    <col customWidth="1" min="56" max="56" width="15.71"/>
    <col customWidth="1" hidden="1" min="57" max="57" width="22.86"/>
    <col customWidth="1" hidden="1" min="58" max="58" width="18.29"/>
    <col customWidth="1" hidden="1" min="59" max="59" width="8.71"/>
    <col customWidth="1" hidden="1" min="60" max="60" width="18.43"/>
    <col customWidth="1" hidden="1" min="61" max="61" width="8.71"/>
    <col customWidth="1" min="62" max="62" width="54.71"/>
    <col customWidth="1" hidden="1" min="63" max="71" width="8.71"/>
    <col customWidth="1" hidden="1" min="72" max="72" width="21.43"/>
    <col customWidth="1" hidden="1" min="73" max="73" width="20.57"/>
    <col customWidth="1" min="74" max="74" width="14.57"/>
    <col customWidth="1" min="75" max="75" width="12.86"/>
    <col customWidth="1" hidden="1" min="76" max="76" width="48.14"/>
    <col customWidth="1" min="77" max="77" width="10.29"/>
    <col customWidth="1" hidden="1" min="78" max="78" width="34.71"/>
    <col customWidth="1" hidden="1" min="79" max="79" width="35.14"/>
    <col customWidth="1" hidden="1" min="80" max="80" width="22.57"/>
    <col customWidth="1" hidden="1" min="81" max="81" width="21.43"/>
    <col customWidth="1" hidden="1" min="82" max="82" width="15.43"/>
    <col customWidth="1" hidden="1" min="83" max="83" width="20.57"/>
    <col customWidth="1" hidden="1" min="84" max="86" width="8.71"/>
    <col customWidth="1" hidden="1" min="87" max="87" width="41.14"/>
    <col customWidth="1" hidden="1" min="88" max="91" width="8.71"/>
    <col customWidth="1" min="92" max="92" width="19.29"/>
    <col customWidth="1" min="93" max="112" width="8.71"/>
  </cols>
  <sheetData>
    <row r="1" ht="24.75" hidden="1" customHeight="1">
      <c r="A1" s="1" t="s">
        <v>0</v>
      </c>
      <c r="B1" s="3" t="s">
        <v>1</v>
      </c>
      <c r="C1" s="1" t="s">
        <v>2</v>
      </c>
      <c r="D1" s="4" t="s">
        <v>4</v>
      </c>
      <c r="E1" s="5" t="s">
        <v>7</v>
      </c>
      <c r="F1" s="6" t="s">
        <v>9</v>
      </c>
      <c r="G1" s="6" t="s">
        <v>10</v>
      </c>
      <c r="H1" s="7" t="s">
        <v>11</v>
      </c>
      <c r="I1" s="7" t="s">
        <v>12</v>
      </c>
      <c r="J1" s="7" t="s">
        <v>13</v>
      </c>
      <c r="K1" s="7" t="s">
        <v>14</v>
      </c>
      <c r="L1" s="6" t="s">
        <v>15</v>
      </c>
      <c r="M1" s="3" t="s">
        <v>16</v>
      </c>
      <c r="N1" s="8" t="s">
        <v>17</v>
      </c>
      <c r="O1" s="8" t="s">
        <v>18</v>
      </c>
      <c r="P1" s="8" t="s">
        <v>19</v>
      </c>
      <c r="Q1" s="3" t="s">
        <v>20</v>
      </c>
      <c r="R1" s="3" t="s">
        <v>21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4" t="s">
        <v>34</v>
      </c>
      <c r="AE1" s="3" t="s">
        <v>35</v>
      </c>
      <c r="AF1" s="2" t="s">
        <v>36</v>
      </c>
      <c r="AG1" s="2" t="s">
        <v>37</v>
      </c>
      <c r="AH1" s="3" t="s">
        <v>38</v>
      </c>
      <c r="AI1" s="3" t="s">
        <v>39</v>
      </c>
      <c r="AJ1" s="3" t="s">
        <v>40</v>
      </c>
      <c r="AK1" s="3" t="s">
        <v>41</v>
      </c>
      <c r="AL1" s="3" t="s">
        <v>42</v>
      </c>
      <c r="AM1" s="3" t="s">
        <v>43</v>
      </c>
      <c r="AN1" s="3" t="s">
        <v>44</v>
      </c>
      <c r="AO1" s="3" t="s">
        <v>45</v>
      </c>
      <c r="AP1" s="3" t="s">
        <v>46</v>
      </c>
      <c r="AQ1" s="3" t="s">
        <v>47</v>
      </c>
      <c r="AR1" s="3" t="s">
        <v>48</v>
      </c>
      <c r="AS1" s="3" t="s">
        <v>49</v>
      </c>
      <c r="AT1" s="3" t="s">
        <v>50</v>
      </c>
      <c r="AU1" s="3" t="s">
        <v>51</v>
      </c>
      <c r="AV1" s="3" t="s">
        <v>52</v>
      </c>
      <c r="AW1" s="3" t="s">
        <v>53</v>
      </c>
      <c r="AX1" s="3" t="s">
        <v>54</v>
      </c>
      <c r="AY1" s="3" t="s">
        <v>55</v>
      </c>
      <c r="AZ1" s="3" t="s">
        <v>56</v>
      </c>
      <c r="BA1" s="3" t="s">
        <v>57</v>
      </c>
      <c r="BB1" s="3" t="s">
        <v>59</v>
      </c>
      <c r="BC1" s="10" t="s">
        <v>60</v>
      </c>
      <c r="BD1" s="12" t="s">
        <v>61</v>
      </c>
      <c r="BE1" s="13" t="s">
        <v>63</v>
      </c>
      <c r="BF1" s="2" t="s">
        <v>65</v>
      </c>
      <c r="BG1" s="4" t="s">
        <v>66</v>
      </c>
      <c r="BH1" s="3" t="s">
        <v>67</v>
      </c>
      <c r="BI1" s="3" t="s">
        <v>68</v>
      </c>
      <c r="BJ1" s="14" t="s">
        <v>69</v>
      </c>
      <c r="BK1" s="3" t="s">
        <v>71</v>
      </c>
      <c r="BL1" s="3" t="s">
        <v>72</v>
      </c>
      <c r="BM1" s="3" t="s">
        <v>73</v>
      </c>
      <c r="BN1" s="3" t="s">
        <v>74</v>
      </c>
      <c r="BO1" s="3" t="s">
        <v>75</v>
      </c>
      <c r="BP1" s="3" t="s">
        <v>76</v>
      </c>
      <c r="BQ1" s="3" t="s">
        <v>77</v>
      </c>
      <c r="BR1" s="3" t="s">
        <v>78</v>
      </c>
      <c r="BS1" s="3" t="s">
        <v>79</v>
      </c>
      <c r="BT1" s="6" t="s">
        <v>80</v>
      </c>
      <c r="BU1" s="4" t="s">
        <v>82</v>
      </c>
      <c r="BV1" s="16" t="s">
        <v>83</v>
      </c>
      <c r="BW1" s="16" t="s">
        <v>84</v>
      </c>
      <c r="BX1" s="3" t="s">
        <v>85</v>
      </c>
      <c r="BY1" s="2" t="s">
        <v>86</v>
      </c>
      <c r="BZ1" s="3" t="s">
        <v>87</v>
      </c>
      <c r="CA1" s="3" t="s">
        <v>88</v>
      </c>
      <c r="CB1" s="3" t="s">
        <v>89</v>
      </c>
      <c r="CC1" s="3" t="s">
        <v>90</v>
      </c>
      <c r="CD1" s="4" t="s">
        <v>91</v>
      </c>
      <c r="CE1" s="6" t="s">
        <v>93</v>
      </c>
      <c r="CF1" s="3" t="s">
        <v>94</v>
      </c>
      <c r="CG1" s="3" t="s">
        <v>95</v>
      </c>
      <c r="CH1" s="3" t="s">
        <v>96</v>
      </c>
      <c r="CI1" s="2" t="s">
        <v>97</v>
      </c>
      <c r="CJ1" s="5" t="s">
        <v>98</v>
      </c>
      <c r="CK1" s="5" t="s">
        <v>99</v>
      </c>
      <c r="CL1" s="5" t="s">
        <v>100</v>
      </c>
      <c r="CM1" s="5" t="s">
        <v>101</v>
      </c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</row>
    <row r="2" ht="60.0" customHeight="1">
      <c r="A2" s="21" t="s">
        <v>110</v>
      </c>
      <c r="B2" s="21" t="s">
        <v>1</v>
      </c>
      <c r="C2" s="21" t="s">
        <v>105</v>
      </c>
      <c r="D2" s="21" t="s">
        <v>4</v>
      </c>
      <c r="E2" s="21" t="s">
        <v>7</v>
      </c>
      <c r="F2" s="21" t="s">
        <v>9</v>
      </c>
      <c r="G2" s="21" t="s">
        <v>10</v>
      </c>
      <c r="H2" s="21" t="s">
        <v>112</v>
      </c>
      <c r="I2" s="21" t="s">
        <v>12</v>
      </c>
      <c r="J2" s="21" t="s">
        <v>13</v>
      </c>
      <c r="K2" s="21" t="s">
        <v>113</v>
      </c>
      <c r="L2" s="22" t="s">
        <v>15</v>
      </c>
      <c r="M2" s="22" t="s">
        <v>16</v>
      </c>
      <c r="N2" s="22" t="s">
        <v>17</v>
      </c>
      <c r="O2" s="22" t="s">
        <v>18</v>
      </c>
      <c r="P2" s="22" t="s">
        <v>19</v>
      </c>
      <c r="Q2" s="22" t="s">
        <v>20</v>
      </c>
      <c r="R2" s="22" t="s">
        <v>21</v>
      </c>
      <c r="S2" s="22" t="s">
        <v>23</v>
      </c>
      <c r="T2" s="22" t="s">
        <v>24</v>
      </c>
      <c r="U2" s="22" t="s">
        <v>25</v>
      </c>
      <c r="V2" s="22" t="s">
        <v>26</v>
      </c>
      <c r="W2" s="22" t="s">
        <v>27</v>
      </c>
      <c r="X2" s="22" t="s">
        <v>28</v>
      </c>
      <c r="Y2" s="22" t="s">
        <v>29</v>
      </c>
      <c r="Z2" s="22" t="s">
        <v>30</v>
      </c>
      <c r="AA2" s="22" t="s">
        <v>31</v>
      </c>
      <c r="AB2" s="22" t="s">
        <v>32</v>
      </c>
      <c r="AC2" s="22" t="s">
        <v>33</v>
      </c>
      <c r="AD2" s="22" t="s">
        <v>34</v>
      </c>
      <c r="AE2" s="22" t="s">
        <v>35</v>
      </c>
      <c r="AF2" s="21" t="s">
        <v>116</v>
      </c>
      <c r="AG2" s="21" t="s">
        <v>117</v>
      </c>
      <c r="AH2" s="3" t="s">
        <v>38</v>
      </c>
      <c r="AI2" s="3" t="s">
        <v>39</v>
      </c>
      <c r="AJ2" s="3" t="s">
        <v>40</v>
      </c>
      <c r="AK2" s="3" t="s">
        <v>41</v>
      </c>
      <c r="AL2" s="3" t="s">
        <v>42</v>
      </c>
      <c r="AM2" s="3" t="s">
        <v>43</v>
      </c>
      <c r="AN2" s="3" t="s">
        <v>44</v>
      </c>
      <c r="AO2" s="3" t="s">
        <v>45</v>
      </c>
      <c r="AP2" s="3" t="s">
        <v>46</v>
      </c>
      <c r="AQ2" s="3" t="s">
        <v>47</v>
      </c>
      <c r="AR2" s="3" t="s">
        <v>48</v>
      </c>
      <c r="AS2" s="3" t="s">
        <v>49</v>
      </c>
      <c r="AT2" s="3" t="s">
        <v>50</v>
      </c>
      <c r="AU2" s="3" t="s">
        <v>51</v>
      </c>
      <c r="AV2" s="3" t="s">
        <v>52</v>
      </c>
      <c r="AW2" s="3" t="s">
        <v>53</v>
      </c>
      <c r="AX2" s="3" t="s">
        <v>54</v>
      </c>
      <c r="AY2" s="3" t="s">
        <v>55</v>
      </c>
      <c r="AZ2" s="3" t="s">
        <v>56</v>
      </c>
      <c r="BA2" s="3" t="s">
        <v>57</v>
      </c>
      <c r="BB2" s="3" t="s">
        <v>59</v>
      </c>
      <c r="BC2" s="10" t="s">
        <v>60</v>
      </c>
      <c r="BD2" s="23" t="s">
        <v>122</v>
      </c>
      <c r="BE2" s="13" t="s">
        <v>63</v>
      </c>
      <c r="BF2" s="2" t="s">
        <v>65</v>
      </c>
      <c r="BG2" s="4" t="s">
        <v>66</v>
      </c>
      <c r="BH2" s="3" t="s">
        <v>67</v>
      </c>
      <c r="BI2" s="3" t="s">
        <v>68</v>
      </c>
      <c r="BJ2" s="24" t="s">
        <v>125</v>
      </c>
      <c r="BK2" s="22" t="s">
        <v>71</v>
      </c>
      <c r="BL2" s="22" t="s">
        <v>72</v>
      </c>
      <c r="BM2" s="22" t="s">
        <v>73</v>
      </c>
      <c r="BN2" s="22" t="s">
        <v>74</v>
      </c>
      <c r="BO2" s="22" t="s">
        <v>75</v>
      </c>
      <c r="BP2" s="22" t="s">
        <v>76</v>
      </c>
      <c r="BQ2" s="22" t="s">
        <v>77</v>
      </c>
      <c r="BR2" s="22" t="s">
        <v>78</v>
      </c>
      <c r="BS2" s="22" t="s">
        <v>79</v>
      </c>
      <c r="BT2" s="22" t="s">
        <v>80</v>
      </c>
      <c r="BU2" s="22" t="s">
        <v>82</v>
      </c>
      <c r="BV2" s="25" t="s">
        <v>129</v>
      </c>
      <c r="BW2" s="25" t="s">
        <v>131</v>
      </c>
      <c r="BX2" s="3" t="s">
        <v>85</v>
      </c>
      <c r="BY2" s="26" t="s">
        <v>132</v>
      </c>
      <c r="BZ2" s="3" t="s">
        <v>87</v>
      </c>
      <c r="CA2" s="3" t="s">
        <v>88</v>
      </c>
      <c r="CB2" s="3" t="s">
        <v>89</v>
      </c>
      <c r="CC2" s="3" t="s">
        <v>90</v>
      </c>
      <c r="CD2" s="4" t="s">
        <v>91</v>
      </c>
      <c r="CE2" s="6" t="s">
        <v>93</v>
      </c>
      <c r="CF2" s="3" t="s">
        <v>94</v>
      </c>
      <c r="CG2" s="3" t="s">
        <v>95</v>
      </c>
      <c r="CH2" s="3" t="s">
        <v>96</v>
      </c>
      <c r="CI2" s="2" t="s">
        <v>97</v>
      </c>
      <c r="CJ2" s="5" t="s">
        <v>98</v>
      </c>
      <c r="CK2" s="5" t="s">
        <v>99</v>
      </c>
      <c r="CL2" s="5" t="s">
        <v>100</v>
      </c>
      <c r="CM2" s="5" t="s">
        <v>101</v>
      </c>
      <c r="CN2" s="27" t="s">
        <v>134</v>
      </c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</row>
    <row r="3" ht="14.25" customHeight="1">
      <c r="A3" s="22" t="s">
        <v>137</v>
      </c>
      <c r="B3" s="22"/>
      <c r="C3" s="22" t="s">
        <v>139</v>
      </c>
      <c r="D3" s="22"/>
      <c r="E3" s="22"/>
      <c r="F3" s="22"/>
      <c r="G3" s="22"/>
      <c r="H3" s="28" t="s">
        <v>141</v>
      </c>
      <c r="I3" s="28"/>
      <c r="J3" s="28"/>
      <c r="K3" s="28" t="s">
        <v>143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>
        <v>1.0</v>
      </c>
      <c r="AE3" s="22"/>
      <c r="AF3" s="22" t="s">
        <v>145</v>
      </c>
      <c r="AG3" s="22" t="s">
        <v>146</v>
      </c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29">
        <v>46091.0</v>
      </c>
      <c r="BE3" s="30">
        <f t="shared" ref="BE3:BE4" si="1">BD3</f>
        <v>46091</v>
      </c>
      <c r="BF3" s="31" t="str">
        <f t="shared" ref="BF3:BF4" si="2">#REF!</f>
        <v>#REF!</v>
      </c>
      <c r="BG3" s="15" t="s">
        <v>147</v>
      </c>
      <c r="BH3" s="15"/>
      <c r="BI3" s="15"/>
      <c r="BJ3" s="22" t="s">
        <v>148</v>
      </c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 t="str">
        <f t="shared" ref="BU3:BU8" si="3">BV3&amp;" "&amp;BW3</f>
        <v>52,03265 5,30949</v>
      </c>
      <c r="BV3" s="32">
        <v>52.03265</v>
      </c>
      <c r="BW3" s="32">
        <v>5.30949</v>
      </c>
      <c r="BX3" s="15"/>
      <c r="BY3" s="22">
        <v>8.0</v>
      </c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 t="s">
        <v>149</v>
      </c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</row>
    <row r="4" ht="14.25" customHeight="1">
      <c r="A4" s="22" t="s">
        <v>150</v>
      </c>
      <c r="B4" s="22"/>
      <c r="C4" s="22" t="s">
        <v>139</v>
      </c>
      <c r="D4" s="22"/>
      <c r="E4" s="22"/>
      <c r="F4" s="22"/>
      <c r="G4" s="22"/>
      <c r="H4" s="28" t="s">
        <v>151</v>
      </c>
      <c r="I4" s="28"/>
      <c r="J4" s="28"/>
      <c r="K4" s="28" t="s">
        <v>152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>
        <v>1.0</v>
      </c>
      <c r="AE4" s="22"/>
      <c r="AF4" s="22" t="s">
        <v>145</v>
      </c>
      <c r="AG4" s="22" t="s">
        <v>146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29">
        <v>46091.0</v>
      </c>
      <c r="BE4" s="30">
        <f t="shared" si="1"/>
        <v>46091</v>
      </c>
      <c r="BF4" s="31" t="str">
        <f t="shared" si="2"/>
        <v>#REF!</v>
      </c>
      <c r="BG4" s="15" t="s">
        <v>147</v>
      </c>
      <c r="BH4" s="15"/>
      <c r="BI4" s="15"/>
      <c r="BJ4" s="22" t="s">
        <v>148</v>
      </c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 t="str">
        <f t="shared" si="3"/>
        <v>52,03265 5,30949</v>
      </c>
      <c r="BV4" s="32">
        <v>52.03265</v>
      </c>
      <c r="BW4" s="32">
        <v>5.30949</v>
      </c>
      <c r="BX4" s="15"/>
      <c r="BY4" s="22">
        <v>8.0</v>
      </c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 t="s">
        <v>153</v>
      </c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</row>
    <row r="5" ht="14.25" customHeight="1">
      <c r="A5" s="22" t="s">
        <v>154</v>
      </c>
      <c r="B5" s="22"/>
      <c r="C5" s="22" t="s">
        <v>139</v>
      </c>
      <c r="D5" s="22"/>
      <c r="E5" s="22"/>
      <c r="F5" s="22"/>
      <c r="G5" s="22"/>
      <c r="H5" s="28" t="s">
        <v>151</v>
      </c>
      <c r="I5" s="28"/>
      <c r="J5" s="28"/>
      <c r="K5" s="28" t="s">
        <v>152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 t="s">
        <v>145</v>
      </c>
      <c r="AG5" s="22" t="s">
        <v>155</v>
      </c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29">
        <v>46091.0</v>
      </c>
      <c r="BE5" s="30"/>
      <c r="BF5" s="31"/>
      <c r="BG5" s="15"/>
      <c r="BH5" s="15"/>
      <c r="BI5" s="15"/>
      <c r="BJ5" s="22" t="s">
        <v>148</v>
      </c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 t="str">
        <f t="shared" si="3"/>
        <v>52,03265 5,30949</v>
      </c>
      <c r="BV5" s="32">
        <v>52.03265</v>
      </c>
      <c r="BW5" s="32">
        <v>5.30949</v>
      </c>
      <c r="BX5" s="15"/>
      <c r="BY5" s="22">
        <v>8.0</v>
      </c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 t="s">
        <v>156</v>
      </c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</row>
    <row r="6" ht="14.25" customHeight="1">
      <c r="A6" s="22" t="s">
        <v>157</v>
      </c>
      <c r="B6" s="22"/>
      <c r="C6" s="22" t="s">
        <v>139</v>
      </c>
      <c r="D6" s="22"/>
      <c r="E6" s="22"/>
      <c r="F6" s="22"/>
      <c r="G6" s="22"/>
      <c r="H6" s="28" t="s">
        <v>151</v>
      </c>
      <c r="I6" s="28"/>
      <c r="J6" s="28"/>
      <c r="K6" s="28" t="s">
        <v>152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 t="s">
        <v>145</v>
      </c>
      <c r="AG6" s="22" t="s">
        <v>155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29">
        <v>46091.0</v>
      </c>
      <c r="BE6" s="30"/>
      <c r="BF6" s="31"/>
      <c r="BG6" s="15"/>
      <c r="BH6" s="15"/>
      <c r="BI6" s="15"/>
      <c r="BJ6" s="22" t="s">
        <v>148</v>
      </c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 t="str">
        <f t="shared" si="3"/>
        <v>52,03265 5,30949</v>
      </c>
      <c r="BV6" s="32">
        <v>52.03265</v>
      </c>
      <c r="BW6" s="32">
        <v>5.30949</v>
      </c>
      <c r="BX6" s="15"/>
      <c r="BY6" s="22">
        <v>8.0</v>
      </c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 t="s">
        <v>156</v>
      </c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</row>
    <row r="7" ht="14.25" customHeight="1">
      <c r="A7" s="22" t="s">
        <v>158</v>
      </c>
      <c r="B7" s="22"/>
      <c r="C7" s="22" t="s">
        <v>139</v>
      </c>
      <c r="D7" s="22"/>
      <c r="E7" s="22"/>
      <c r="F7" s="22"/>
      <c r="G7" s="22"/>
      <c r="H7" s="28" t="s">
        <v>159</v>
      </c>
      <c r="I7" s="28"/>
      <c r="J7" s="28"/>
      <c r="K7" s="28" t="s">
        <v>160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>
        <v>1.0</v>
      </c>
      <c r="AE7" s="22"/>
      <c r="AF7" s="22" t="s">
        <v>161</v>
      </c>
      <c r="AG7" s="22" t="s">
        <v>146</v>
      </c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29">
        <v>46091.0</v>
      </c>
      <c r="BE7" s="30">
        <f t="shared" ref="BE7:BE8" si="4">BD7</f>
        <v>46091</v>
      </c>
      <c r="BF7" s="31" t="str">
        <f t="shared" ref="BF7:BF8" si="5">#REF!</f>
        <v>#REF!</v>
      </c>
      <c r="BG7" s="15" t="s">
        <v>147</v>
      </c>
      <c r="BH7" s="15"/>
      <c r="BI7" s="15"/>
      <c r="BJ7" s="22" t="s">
        <v>148</v>
      </c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 t="str">
        <f t="shared" si="3"/>
        <v>52,03265 5,30949</v>
      </c>
      <c r="BV7" s="32">
        <v>52.03265</v>
      </c>
      <c r="BW7" s="32">
        <v>5.30949</v>
      </c>
      <c r="BX7" s="15"/>
      <c r="BY7" s="22">
        <v>8.0</v>
      </c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 t="s">
        <v>162</v>
      </c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</row>
    <row r="8" ht="14.25" customHeight="1">
      <c r="A8" s="22" t="s">
        <v>163</v>
      </c>
      <c r="B8" s="22"/>
      <c r="C8" s="22" t="s">
        <v>139</v>
      </c>
      <c r="D8" s="22"/>
      <c r="E8" s="22"/>
      <c r="F8" s="22"/>
      <c r="G8" s="22"/>
      <c r="H8" s="28" t="s">
        <v>141</v>
      </c>
      <c r="I8" s="28"/>
      <c r="J8" s="28"/>
      <c r="K8" s="28" t="s">
        <v>143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>
        <v>1.0</v>
      </c>
      <c r="AE8" s="22"/>
      <c r="AF8" s="22" t="s">
        <v>145</v>
      </c>
      <c r="AG8" s="22" t="s">
        <v>146</v>
      </c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29">
        <v>46091.0</v>
      </c>
      <c r="BE8" s="30">
        <f t="shared" si="4"/>
        <v>46091</v>
      </c>
      <c r="BF8" s="31" t="str">
        <f t="shared" si="5"/>
        <v>#REF!</v>
      </c>
      <c r="BG8" s="15" t="s">
        <v>147</v>
      </c>
      <c r="BH8" s="15"/>
      <c r="BI8" s="15"/>
      <c r="BJ8" s="22" t="s">
        <v>148</v>
      </c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 t="str">
        <f t="shared" si="3"/>
        <v>52,03265 5,30949</v>
      </c>
      <c r="BV8" s="32">
        <v>52.03265</v>
      </c>
      <c r="BW8" s="32">
        <v>5.30949</v>
      </c>
      <c r="BX8" s="15"/>
      <c r="BY8" s="22">
        <v>8.0</v>
      </c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 t="s">
        <v>164</v>
      </c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</row>
    <row r="9" ht="14.25" customHeight="1">
      <c r="A9" s="22" t="s">
        <v>165</v>
      </c>
      <c r="B9" s="22"/>
      <c r="C9" s="22" t="s">
        <v>139</v>
      </c>
      <c r="D9" s="22"/>
      <c r="E9" s="22"/>
      <c r="F9" s="22"/>
      <c r="G9" s="22"/>
      <c r="H9" s="28" t="s">
        <v>141</v>
      </c>
      <c r="I9" s="28"/>
      <c r="J9" s="28"/>
      <c r="K9" s="28" t="s">
        <v>143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 t="s">
        <v>145</v>
      </c>
      <c r="AG9" s="22" t="s">
        <v>155</v>
      </c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29">
        <v>46091.0</v>
      </c>
      <c r="BE9" s="30"/>
      <c r="BF9" s="31"/>
      <c r="BG9" s="15"/>
      <c r="BH9" s="15"/>
      <c r="BI9" s="15"/>
      <c r="BJ9" s="22" t="s">
        <v>148</v>
      </c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32">
        <v>52.03265</v>
      </c>
      <c r="BW9" s="32">
        <v>5.30949</v>
      </c>
      <c r="BX9" s="15"/>
      <c r="BY9" s="22">
        <v>8.0</v>
      </c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 t="s">
        <v>166</v>
      </c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</row>
    <row r="10" ht="14.25" customHeight="1">
      <c r="A10" s="22" t="s">
        <v>167</v>
      </c>
      <c r="B10" s="22"/>
      <c r="C10" s="22" t="s">
        <v>139</v>
      </c>
      <c r="D10" s="22"/>
      <c r="E10" s="22"/>
      <c r="F10" s="22"/>
      <c r="G10" s="22"/>
      <c r="H10" s="28" t="s">
        <v>168</v>
      </c>
      <c r="I10" s="28"/>
      <c r="J10" s="28"/>
      <c r="K10" s="28" t="s">
        <v>169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>
        <v>1.0</v>
      </c>
      <c r="AE10" s="22"/>
      <c r="AF10" s="22" t="s">
        <v>145</v>
      </c>
      <c r="AG10" s="22" t="s">
        <v>146</v>
      </c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29">
        <v>46097.0</v>
      </c>
      <c r="BE10" s="30">
        <f t="shared" ref="BE10:BE94" si="6">BD10</f>
        <v>46097</v>
      </c>
      <c r="BF10" s="31" t="str">
        <f t="shared" ref="BF10:BF94" si="7">#REF!</f>
        <v>#REF!</v>
      </c>
      <c r="BG10" s="15" t="s">
        <v>147</v>
      </c>
      <c r="BH10" s="15"/>
      <c r="BI10" s="15"/>
      <c r="BJ10" s="22" t="s">
        <v>170</v>
      </c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 t="str">
        <f t="shared" ref="BU10:BU94" si="8">BV10&amp;" "&amp;BW10</f>
        <v>51,92815 4,44402</v>
      </c>
      <c r="BV10" s="32">
        <v>51.92815</v>
      </c>
      <c r="BW10" s="32">
        <v>4.44402</v>
      </c>
      <c r="BX10" s="15"/>
      <c r="BY10" s="22">
        <v>-1.5</v>
      </c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 t="s">
        <v>171</v>
      </c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</row>
    <row r="11" ht="14.25" customHeight="1">
      <c r="A11" s="22" t="s">
        <v>172</v>
      </c>
      <c r="B11" s="22"/>
      <c r="C11" s="22" t="s">
        <v>139</v>
      </c>
      <c r="D11" s="22"/>
      <c r="E11" s="22"/>
      <c r="F11" s="22"/>
      <c r="G11" s="22"/>
      <c r="H11" s="28" t="s">
        <v>159</v>
      </c>
      <c r="I11" s="28"/>
      <c r="J11" s="28"/>
      <c r="K11" s="28" t="s">
        <v>173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>
        <v>1.0</v>
      </c>
      <c r="AE11" s="22"/>
      <c r="AF11" s="22" t="s">
        <v>145</v>
      </c>
      <c r="AG11" s="22" t="s">
        <v>146</v>
      </c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29">
        <v>46097.0</v>
      </c>
      <c r="BE11" s="30">
        <f t="shared" si="6"/>
        <v>46097</v>
      </c>
      <c r="BF11" s="31" t="str">
        <f t="shared" si="7"/>
        <v>#REF!</v>
      </c>
      <c r="BG11" s="15" t="s">
        <v>147</v>
      </c>
      <c r="BH11" s="15"/>
      <c r="BI11" s="15"/>
      <c r="BJ11" s="22" t="s">
        <v>170</v>
      </c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 t="str">
        <f t="shared" si="8"/>
        <v>51,92815 4,44402</v>
      </c>
      <c r="BV11" s="32">
        <v>51.92815</v>
      </c>
      <c r="BW11" s="32">
        <v>4.44402</v>
      </c>
      <c r="BX11" s="15"/>
      <c r="BY11" s="22">
        <v>-2.0</v>
      </c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 t="s">
        <v>174</v>
      </c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</row>
    <row r="12" ht="14.25" customHeight="1">
      <c r="A12" s="22" t="s">
        <v>175</v>
      </c>
      <c r="B12" s="22"/>
      <c r="C12" s="22" t="s">
        <v>139</v>
      </c>
      <c r="D12" s="22"/>
      <c r="E12" s="22"/>
      <c r="F12" s="22"/>
      <c r="G12" s="22"/>
      <c r="H12" s="28" t="s">
        <v>159</v>
      </c>
      <c r="I12" s="28"/>
      <c r="J12" s="28"/>
      <c r="K12" s="28" t="s">
        <v>176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>
        <v>1.0</v>
      </c>
      <c r="AE12" s="22"/>
      <c r="AF12" s="22" t="s">
        <v>145</v>
      </c>
      <c r="AG12" s="22" t="s">
        <v>146</v>
      </c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29">
        <v>46097.0</v>
      </c>
      <c r="BE12" s="30">
        <f t="shared" si="6"/>
        <v>46097</v>
      </c>
      <c r="BF12" s="31" t="str">
        <f t="shared" si="7"/>
        <v>#REF!</v>
      </c>
      <c r="BG12" s="15" t="s">
        <v>147</v>
      </c>
      <c r="BH12" s="15"/>
      <c r="BI12" s="15"/>
      <c r="BJ12" s="22" t="s">
        <v>170</v>
      </c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 t="str">
        <f t="shared" si="8"/>
        <v>51,92815 4,44402</v>
      </c>
      <c r="BV12" s="32">
        <v>51.92815</v>
      </c>
      <c r="BW12" s="32">
        <v>4.44402</v>
      </c>
      <c r="BX12" s="15"/>
      <c r="BY12" s="22">
        <v>-2.0</v>
      </c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 t="s">
        <v>177</v>
      </c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</row>
    <row r="13" ht="14.25" customHeight="1">
      <c r="A13" s="22" t="s">
        <v>178</v>
      </c>
      <c r="B13" s="22"/>
      <c r="C13" s="22" t="s">
        <v>139</v>
      </c>
      <c r="D13" s="22"/>
      <c r="E13" s="22"/>
      <c r="F13" s="22"/>
      <c r="G13" s="22"/>
      <c r="H13" s="28" t="s">
        <v>151</v>
      </c>
      <c r="I13" s="28"/>
      <c r="J13" s="28"/>
      <c r="K13" s="28" t="s">
        <v>152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>
        <v>1.0</v>
      </c>
      <c r="AE13" s="22"/>
      <c r="AF13" s="22" t="s">
        <v>145</v>
      </c>
      <c r="AG13" s="22" t="s">
        <v>146</v>
      </c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29">
        <v>46097.0</v>
      </c>
      <c r="BE13" s="30">
        <f t="shared" si="6"/>
        <v>46097</v>
      </c>
      <c r="BF13" s="31" t="str">
        <f t="shared" si="7"/>
        <v>#REF!</v>
      </c>
      <c r="BG13" s="15" t="s">
        <v>147</v>
      </c>
      <c r="BH13" s="15"/>
      <c r="BI13" s="15"/>
      <c r="BJ13" s="22" t="s">
        <v>170</v>
      </c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 t="str">
        <f t="shared" si="8"/>
        <v>51,92815 4,44402</v>
      </c>
      <c r="BV13" s="32">
        <v>51.92815</v>
      </c>
      <c r="BW13" s="32">
        <v>4.44402</v>
      </c>
      <c r="BX13" s="15"/>
      <c r="BY13" s="22">
        <v>-2.0</v>
      </c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 t="s">
        <v>179</v>
      </c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</row>
    <row r="14" ht="15.0" customHeight="1">
      <c r="A14" s="22" t="s">
        <v>180</v>
      </c>
      <c r="B14" s="22"/>
      <c r="C14" s="22" t="s">
        <v>139</v>
      </c>
      <c r="D14" s="22"/>
      <c r="E14" s="22"/>
      <c r="F14" s="22"/>
      <c r="G14" s="22"/>
      <c r="H14" s="28" t="s">
        <v>151</v>
      </c>
      <c r="I14" s="28"/>
      <c r="J14" s="28"/>
      <c r="K14" s="28" t="s">
        <v>152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>
        <v>1.0</v>
      </c>
      <c r="AE14" s="22"/>
      <c r="AF14" s="22" t="s">
        <v>145</v>
      </c>
      <c r="AG14" s="22" t="s">
        <v>155</v>
      </c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29">
        <v>46097.0</v>
      </c>
      <c r="BE14" s="30">
        <f t="shared" si="6"/>
        <v>46097</v>
      </c>
      <c r="BF14" s="31" t="str">
        <f t="shared" si="7"/>
        <v>#REF!</v>
      </c>
      <c r="BG14" s="15" t="s">
        <v>147</v>
      </c>
      <c r="BH14" s="15"/>
      <c r="BI14" s="15"/>
      <c r="BJ14" s="22" t="s">
        <v>170</v>
      </c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 t="str">
        <f t="shared" si="8"/>
        <v>51,92815 4,44402</v>
      </c>
      <c r="BV14" s="32">
        <v>51.92815</v>
      </c>
      <c r="BW14" s="32">
        <v>4.44402</v>
      </c>
      <c r="BX14" s="15"/>
      <c r="BY14" s="22">
        <v>-2.25</v>
      </c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 t="s">
        <v>181</v>
      </c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</row>
    <row r="15" ht="14.25" customHeight="1">
      <c r="A15" s="22" t="s">
        <v>182</v>
      </c>
      <c r="B15" s="22"/>
      <c r="C15" s="22" t="s">
        <v>139</v>
      </c>
      <c r="D15" s="22"/>
      <c r="E15" s="22"/>
      <c r="F15" s="22"/>
      <c r="G15" s="22"/>
      <c r="H15" s="28" t="s">
        <v>159</v>
      </c>
      <c r="I15" s="28"/>
      <c r="J15" s="28"/>
      <c r="K15" s="28" t="s">
        <v>183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>
        <v>1.0</v>
      </c>
      <c r="AE15" s="22"/>
      <c r="AF15" s="22" t="s">
        <v>161</v>
      </c>
      <c r="AG15" s="22" t="s">
        <v>146</v>
      </c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29">
        <v>46097.0</v>
      </c>
      <c r="BE15" s="30">
        <f t="shared" si="6"/>
        <v>46097</v>
      </c>
      <c r="BF15" s="31" t="str">
        <f t="shared" si="7"/>
        <v>#REF!</v>
      </c>
      <c r="BG15" s="15" t="s">
        <v>147</v>
      </c>
      <c r="BH15" s="15"/>
      <c r="BI15" s="15"/>
      <c r="BJ15" s="22" t="s">
        <v>170</v>
      </c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 t="str">
        <f t="shared" si="8"/>
        <v>51,92815 4,44402</v>
      </c>
      <c r="BV15" s="32">
        <v>51.92815</v>
      </c>
      <c r="BW15" s="32">
        <v>4.44402</v>
      </c>
      <c r="BX15" s="15"/>
      <c r="BY15" s="22">
        <v>-2.4</v>
      </c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 t="s">
        <v>184</v>
      </c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</row>
    <row r="16" ht="14.25" customHeight="1">
      <c r="A16" s="22" t="s">
        <v>185</v>
      </c>
      <c r="B16" s="22"/>
      <c r="C16" s="22" t="s">
        <v>139</v>
      </c>
      <c r="D16" s="22"/>
      <c r="E16" s="22"/>
      <c r="F16" s="22"/>
      <c r="G16" s="22"/>
      <c r="H16" s="28" t="s">
        <v>159</v>
      </c>
      <c r="I16" s="28"/>
      <c r="J16" s="28"/>
      <c r="K16" s="28" t="s">
        <v>186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>
        <v>1.0</v>
      </c>
      <c r="AE16" s="22"/>
      <c r="AF16" s="22" t="s">
        <v>145</v>
      </c>
      <c r="AG16" s="22" t="s">
        <v>146</v>
      </c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29">
        <v>46097.0</v>
      </c>
      <c r="BE16" s="30">
        <f t="shared" si="6"/>
        <v>46097</v>
      </c>
      <c r="BF16" s="31" t="str">
        <f t="shared" si="7"/>
        <v>#REF!</v>
      </c>
      <c r="BG16" s="15" t="s">
        <v>147</v>
      </c>
      <c r="BH16" s="15"/>
      <c r="BI16" s="15"/>
      <c r="BJ16" s="22" t="s">
        <v>170</v>
      </c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 t="str">
        <f t="shared" si="8"/>
        <v>51,92815 4,44402</v>
      </c>
      <c r="BV16" s="32">
        <v>51.92815</v>
      </c>
      <c r="BW16" s="32">
        <v>4.44402</v>
      </c>
      <c r="BX16" s="15"/>
      <c r="BY16" s="22">
        <v>-2.4</v>
      </c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 t="s">
        <v>187</v>
      </c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</row>
    <row r="17" ht="14.25" customHeight="1">
      <c r="A17" s="22" t="s">
        <v>188</v>
      </c>
      <c r="B17" s="22"/>
      <c r="C17" s="22" t="s">
        <v>139</v>
      </c>
      <c r="D17" s="22"/>
      <c r="E17" s="22"/>
      <c r="F17" s="22"/>
      <c r="G17" s="22"/>
      <c r="H17" s="28" t="s">
        <v>141</v>
      </c>
      <c r="I17" s="28"/>
      <c r="J17" s="28"/>
      <c r="K17" s="28" t="s">
        <v>143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>
        <v>1.0</v>
      </c>
      <c r="AE17" s="22"/>
      <c r="AF17" s="22" t="s">
        <v>145</v>
      </c>
      <c r="AG17" s="22" t="s">
        <v>146</v>
      </c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29">
        <v>46097.0</v>
      </c>
      <c r="BE17" s="30">
        <f t="shared" si="6"/>
        <v>46097</v>
      </c>
      <c r="BF17" s="31" t="str">
        <f t="shared" si="7"/>
        <v>#REF!</v>
      </c>
      <c r="BG17" s="15" t="s">
        <v>147</v>
      </c>
      <c r="BH17" s="15"/>
      <c r="BI17" s="15"/>
      <c r="BJ17" s="22" t="s">
        <v>170</v>
      </c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 t="str">
        <f t="shared" si="8"/>
        <v>51,92815 4,44402</v>
      </c>
      <c r="BV17" s="32">
        <v>51.92815</v>
      </c>
      <c r="BW17" s="32">
        <v>4.44402</v>
      </c>
      <c r="BX17" s="15"/>
      <c r="BY17" s="22">
        <v>-2.4</v>
      </c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 t="s">
        <v>189</v>
      </c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</row>
    <row r="18" ht="14.25" customHeight="1">
      <c r="A18" s="22" t="s">
        <v>190</v>
      </c>
      <c r="B18" s="22"/>
      <c r="C18" s="22" t="s">
        <v>139</v>
      </c>
      <c r="D18" s="22"/>
      <c r="E18" s="22"/>
      <c r="F18" s="22"/>
      <c r="G18" s="22"/>
      <c r="H18" s="28" t="s">
        <v>141</v>
      </c>
      <c r="I18" s="28"/>
      <c r="J18" s="28"/>
      <c r="K18" s="28" t="s">
        <v>143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>
        <v>1.0</v>
      </c>
      <c r="AE18" s="22"/>
      <c r="AF18" s="22" t="s">
        <v>145</v>
      </c>
      <c r="AG18" s="22" t="s">
        <v>146</v>
      </c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29">
        <v>46097.0</v>
      </c>
      <c r="BE18" s="30">
        <f t="shared" si="6"/>
        <v>46097</v>
      </c>
      <c r="BF18" s="31" t="str">
        <f t="shared" si="7"/>
        <v>#REF!</v>
      </c>
      <c r="BG18" s="15" t="s">
        <v>147</v>
      </c>
      <c r="BH18" s="15"/>
      <c r="BI18" s="15"/>
      <c r="BJ18" s="22" t="s">
        <v>170</v>
      </c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 t="str">
        <f t="shared" si="8"/>
        <v>51,92815 4,44402</v>
      </c>
      <c r="BV18" s="32">
        <v>51.92815</v>
      </c>
      <c r="BW18" s="32">
        <v>4.44402</v>
      </c>
      <c r="BX18" s="15"/>
      <c r="BY18" s="22">
        <v>-2.4</v>
      </c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 t="s">
        <v>191</v>
      </c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</row>
    <row r="19" ht="14.25" customHeight="1">
      <c r="A19" s="22" t="s">
        <v>192</v>
      </c>
      <c r="B19" s="22"/>
      <c r="C19" s="22" t="s">
        <v>139</v>
      </c>
      <c r="D19" s="22"/>
      <c r="E19" s="22"/>
      <c r="F19" s="22"/>
      <c r="G19" s="22"/>
      <c r="H19" s="28" t="s">
        <v>159</v>
      </c>
      <c r="I19" s="28"/>
      <c r="J19" s="28"/>
      <c r="K19" s="28" t="s">
        <v>193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>
        <v>1.0</v>
      </c>
      <c r="AE19" s="22"/>
      <c r="AF19" s="22" t="s">
        <v>145</v>
      </c>
      <c r="AG19" s="22" t="s">
        <v>146</v>
      </c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29">
        <v>46099.0</v>
      </c>
      <c r="BE19" s="30">
        <f t="shared" si="6"/>
        <v>46099</v>
      </c>
      <c r="BF19" s="31" t="str">
        <f t="shared" si="7"/>
        <v>#REF!</v>
      </c>
      <c r="BG19" s="15" t="s">
        <v>147</v>
      </c>
      <c r="BH19" s="15"/>
      <c r="BI19" s="15"/>
      <c r="BJ19" s="22" t="s">
        <v>194</v>
      </c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 t="str">
        <f t="shared" si="8"/>
        <v>52,36666 4,90818</v>
      </c>
      <c r="BV19" s="32">
        <v>52.36666</v>
      </c>
      <c r="BW19" s="32">
        <v>4.90818</v>
      </c>
      <c r="BX19" s="15"/>
      <c r="BY19" s="22">
        <v>1.1</v>
      </c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 t="s">
        <v>195</v>
      </c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</row>
    <row r="20" ht="14.25" customHeight="1">
      <c r="A20" s="22" t="s">
        <v>196</v>
      </c>
      <c r="B20" s="22"/>
      <c r="C20" s="22" t="s">
        <v>139</v>
      </c>
      <c r="D20" s="22"/>
      <c r="E20" s="22"/>
      <c r="F20" s="22"/>
      <c r="G20" s="22"/>
      <c r="H20" s="28" t="s">
        <v>159</v>
      </c>
      <c r="I20" s="28"/>
      <c r="J20" s="28"/>
      <c r="K20" s="28" t="s">
        <v>197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>
        <v>1.0</v>
      </c>
      <c r="AE20" s="22"/>
      <c r="AF20" s="22" t="s">
        <v>145</v>
      </c>
      <c r="AG20" s="22" t="s">
        <v>146</v>
      </c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29">
        <v>46099.0</v>
      </c>
      <c r="BE20" s="30">
        <f t="shared" si="6"/>
        <v>46099</v>
      </c>
      <c r="BF20" s="31" t="str">
        <f t="shared" si="7"/>
        <v>#REF!</v>
      </c>
      <c r="BG20" s="15" t="s">
        <v>147</v>
      </c>
      <c r="BH20" s="15"/>
      <c r="BI20" s="15"/>
      <c r="BJ20" s="22" t="s">
        <v>194</v>
      </c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 t="str">
        <f t="shared" si="8"/>
        <v>52,36666 4,90818</v>
      </c>
      <c r="BV20" s="32">
        <v>52.36666</v>
      </c>
      <c r="BW20" s="32">
        <v>4.90818</v>
      </c>
      <c r="BX20" s="15"/>
      <c r="BY20" s="22">
        <v>1.0</v>
      </c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 t="s">
        <v>198</v>
      </c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</row>
    <row r="21" ht="14.25" customHeight="1">
      <c r="A21" s="22" t="s">
        <v>199</v>
      </c>
      <c r="B21" s="22"/>
      <c r="C21" s="22" t="s">
        <v>139</v>
      </c>
      <c r="D21" s="22"/>
      <c r="E21" s="22"/>
      <c r="F21" s="22"/>
      <c r="G21" s="22"/>
      <c r="H21" s="28" t="s">
        <v>151</v>
      </c>
      <c r="I21" s="28"/>
      <c r="J21" s="28"/>
      <c r="K21" s="28" t="s">
        <v>200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>
        <v>1.0</v>
      </c>
      <c r="AE21" s="22"/>
      <c r="AF21" s="22" t="s">
        <v>145</v>
      </c>
      <c r="AG21" s="22" t="s">
        <v>146</v>
      </c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29">
        <v>46099.0</v>
      </c>
      <c r="BE21" s="30">
        <f t="shared" si="6"/>
        <v>46099</v>
      </c>
      <c r="BF21" s="31" t="str">
        <f t="shared" si="7"/>
        <v>#REF!</v>
      </c>
      <c r="BG21" s="15" t="s">
        <v>147</v>
      </c>
      <c r="BH21" s="15"/>
      <c r="BI21" s="15"/>
      <c r="BJ21" s="22" t="s">
        <v>194</v>
      </c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 t="str">
        <f t="shared" si="8"/>
        <v>52,36666 4,90818</v>
      </c>
      <c r="BV21" s="32">
        <v>52.36666</v>
      </c>
      <c r="BW21" s="32">
        <v>4.90818</v>
      </c>
      <c r="BX21" s="15"/>
      <c r="BY21" s="22">
        <v>1.0</v>
      </c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</row>
    <row r="22" ht="14.25" customHeight="1">
      <c r="A22" s="22" t="s">
        <v>201</v>
      </c>
      <c r="B22" s="22"/>
      <c r="C22" s="22" t="s">
        <v>139</v>
      </c>
      <c r="D22" s="22"/>
      <c r="E22" s="22"/>
      <c r="F22" s="22"/>
      <c r="G22" s="22"/>
      <c r="H22" s="28" t="s">
        <v>202</v>
      </c>
      <c r="I22" s="28"/>
      <c r="J22" s="28"/>
      <c r="K22" s="28" t="s">
        <v>203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>
        <v>1.0</v>
      </c>
      <c r="AE22" s="22"/>
      <c r="AF22" s="22" t="s">
        <v>145</v>
      </c>
      <c r="AG22" s="22" t="s">
        <v>146</v>
      </c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29">
        <v>46099.0</v>
      </c>
      <c r="BE22" s="30">
        <f t="shared" si="6"/>
        <v>46099</v>
      </c>
      <c r="BF22" s="31" t="str">
        <f t="shared" si="7"/>
        <v>#REF!</v>
      </c>
      <c r="BG22" s="15" t="s">
        <v>147</v>
      </c>
      <c r="BH22" s="15"/>
      <c r="BI22" s="15"/>
      <c r="BJ22" s="22" t="s">
        <v>194</v>
      </c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 t="str">
        <f t="shared" si="8"/>
        <v>52,36666 4,90818</v>
      </c>
      <c r="BV22" s="32">
        <v>52.36666</v>
      </c>
      <c r="BW22" s="32">
        <v>4.90818</v>
      </c>
      <c r="BX22" s="15"/>
      <c r="BY22" s="22">
        <v>1.0</v>
      </c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 t="s">
        <v>204</v>
      </c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</row>
    <row r="23" ht="14.25" customHeight="1">
      <c r="A23" s="22" t="s">
        <v>205</v>
      </c>
      <c r="B23" s="22"/>
      <c r="C23" s="22" t="s">
        <v>139</v>
      </c>
      <c r="D23" s="22"/>
      <c r="E23" s="22"/>
      <c r="F23" s="22"/>
      <c r="G23" s="22"/>
      <c r="H23" s="28" t="s">
        <v>159</v>
      </c>
      <c r="I23" s="28"/>
      <c r="J23" s="28"/>
      <c r="K23" s="28" t="s">
        <v>206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>
        <v>1.0</v>
      </c>
      <c r="AE23" s="22"/>
      <c r="AF23" s="22" t="s">
        <v>145</v>
      </c>
      <c r="AG23" s="22" t="s">
        <v>146</v>
      </c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29">
        <v>46099.0</v>
      </c>
      <c r="BE23" s="30">
        <f t="shared" si="6"/>
        <v>46099</v>
      </c>
      <c r="BF23" s="31" t="str">
        <f t="shared" si="7"/>
        <v>#REF!</v>
      </c>
      <c r="BG23" s="15" t="s">
        <v>147</v>
      </c>
      <c r="BH23" s="15"/>
      <c r="BI23" s="15"/>
      <c r="BJ23" s="22" t="s">
        <v>194</v>
      </c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 t="str">
        <f t="shared" si="8"/>
        <v>52,36666 4,90818</v>
      </c>
      <c r="BV23" s="32">
        <v>52.36666</v>
      </c>
      <c r="BW23" s="32">
        <v>4.90818</v>
      </c>
      <c r="BX23" s="15"/>
      <c r="BY23" s="22">
        <v>1.0</v>
      </c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 t="s">
        <v>207</v>
      </c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</row>
    <row r="24" ht="14.25" customHeight="1">
      <c r="A24" s="22" t="s">
        <v>208</v>
      </c>
      <c r="B24" s="22"/>
      <c r="C24" s="22" t="s">
        <v>139</v>
      </c>
      <c r="D24" s="22"/>
      <c r="E24" s="22"/>
      <c r="F24" s="22"/>
      <c r="G24" s="22"/>
      <c r="H24" s="28" t="s">
        <v>151</v>
      </c>
      <c r="I24" s="28"/>
      <c r="J24" s="28"/>
      <c r="K24" s="28" t="s">
        <v>209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>
        <v>1.0</v>
      </c>
      <c r="AE24" s="22"/>
      <c r="AF24" s="22" t="s">
        <v>145</v>
      </c>
      <c r="AG24" s="22" t="s">
        <v>146</v>
      </c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29">
        <v>46099.0</v>
      </c>
      <c r="BE24" s="30">
        <f t="shared" si="6"/>
        <v>46099</v>
      </c>
      <c r="BF24" s="31" t="str">
        <f t="shared" si="7"/>
        <v>#REF!</v>
      </c>
      <c r="BG24" s="15" t="s">
        <v>147</v>
      </c>
      <c r="BH24" s="15"/>
      <c r="BI24" s="15"/>
      <c r="BJ24" s="22" t="s">
        <v>194</v>
      </c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 t="str">
        <f t="shared" si="8"/>
        <v>52,36666 4,90818</v>
      </c>
      <c r="BV24" s="32">
        <v>52.36666</v>
      </c>
      <c r="BW24" s="32">
        <v>4.90818</v>
      </c>
      <c r="BX24" s="15"/>
      <c r="BY24" s="22">
        <v>0.96</v>
      </c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 t="s">
        <v>210</v>
      </c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</row>
    <row r="25" ht="14.25" customHeight="1">
      <c r="A25" s="22" t="s">
        <v>211</v>
      </c>
      <c r="B25" s="22"/>
      <c r="C25" s="22" t="s">
        <v>139</v>
      </c>
      <c r="D25" s="22"/>
      <c r="E25" s="22"/>
      <c r="F25" s="22"/>
      <c r="G25" s="22"/>
      <c r="H25" s="28" t="s">
        <v>141</v>
      </c>
      <c r="I25" s="28"/>
      <c r="J25" s="28"/>
      <c r="K25" s="28" t="s">
        <v>212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>
        <v>1.0</v>
      </c>
      <c r="AE25" s="22"/>
      <c r="AF25" s="22" t="s">
        <v>145</v>
      </c>
      <c r="AG25" s="22" t="s">
        <v>146</v>
      </c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29">
        <v>46099.0</v>
      </c>
      <c r="BE25" s="30">
        <f t="shared" si="6"/>
        <v>46099</v>
      </c>
      <c r="BF25" s="31" t="str">
        <f t="shared" si="7"/>
        <v>#REF!</v>
      </c>
      <c r="BG25" s="15" t="s">
        <v>147</v>
      </c>
      <c r="BH25" s="15"/>
      <c r="BI25" s="15"/>
      <c r="BJ25" s="22" t="s">
        <v>194</v>
      </c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 t="str">
        <f t="shared" si="8"/>
        <v>52,36666 4,90818</v>
      </c>
      <c r="BV25" s="32">
        <v>52.36666</v>
      </c>
      <c r="BW25" s="32">
        <v>4.90818</v>
      </c>
      <c r="BX25" s="15"/>
      <c r="BY25" s="22">
        <v>0.94</v>
      </c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 t="s">
        <v>213</v>
      </c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</row>
    <row r="26" ht="14.25" customHeight="1">
      <c r="A26" s="22" t="s">
        <v>214</v>
      </c>
      <c r="B26" s="22"/>
      <c r="C26" s="22" t="s">
        <v>139</v>
      </c>
      <c r="D26" s="22"/>
      <c r="E26" s="22"/>
      <c r="F26" s="22"/>
      <c r="G26" s="22"/>
      <c r="H26" s="28" t="s">
        <v>141</v>
      </c>
      <c r="I26" s="28"/>
      <c r="J26" s="28"/>
      <c r="K26" s="28" t="s">
        <v>173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>
        <v>1.0</v>
      </c>
      <c r="AE26" s="22"/>
      <c r="AF26" s="22" t="s">
        <v>145</v>
      </c>
      <c r="AG26" s="22" t="s">
        <v>155</v>
      </c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29">
        <v>46099.0</v>
      </c>
      <c r="BE26" s="30">
        <f t="shared" si="6"/>
        <v>46099</v>
      </c>
      <c r="BF26" s="31" t="str">
        <f t="shared" si="7"/>
        <v>#REF!</v>
      </c>
      <c r="BG26" s="15" t="s">
        <v>147</v>
      </c>
      <c r="BH26" s="15"/>
      <c r="BI26" s="15"/>
      <c r="BJ26" s="22" t="s">
        <v>194</v>
      </c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 t="str">
        <f t="shared" si="8"/>
        <v>52,36666 4,90818</v>
      </c>
      <c r="BV26" s="32">
        <v>52.36666</v>
      </c>
      <c r="BW26" s="32">
        <v>4.90818</v>
      </c>
      <c r="BX26" s="15"/>
      <c r="BY26" s="22">
        <v>0.92</v>
      </c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 t="s">
        <v>215</v>
      </c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</row>
    <row r="27" ht="14.25" customHeight="1">
      <c r="A27" s="22" t="s">
        <v>216</v>
      </c>
      <c r="B27" s="22"/>
      <c r="C27" s="22" t="s">
        <v>139</v>
      </c>
      <c r="D27" s="22"/>
      <c r="E27" s="22"/>
      <c r="F27" s="22"/>
      <c r="G27" s="22"/>
      <c r="H27" s="28" t="s">
        <v>141</v>
      </c>
      <c r="I27" s="28"/>
      <c r="J27" s="28"/>
      <c r="K27" s="28" t="s">
        <v>217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>
        <v>1.0</v>
      </c>
      <c r="AE27" s="22"/>
      <c r="AF27" s="22" t="s">
        <v>145</v>
      </c>
      <c r="AG27" s="22" t="s">
        <v>146</v>
      </c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29">
        <v>46099.0</v>
      </c>
      <c r="BE27" s="30">
        <f t="shared" si="6"/>
        <v>46099</v>
      </c>
      <c r="BF27" s="31" t="str">
        <f t="shared" si="7"/>
        <v>#REF!</v>
      </c>
      <c r="BG27" s="15" t="s">
        <v>147</v>
      </c>
      <c r="BH27" s="15"/>
      <c r="BI27" s="15"/>
      <c r="BJ27" s="22" t="s">
        <v>194</v>
      </c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 t="str">
        <f t="shared" si="8"/>
        <v>52,36666 4,90818</v>
      </c>
      <c r="BV27" s="32">
        <v>52.36666</v>
      </c>
      <c r="BW27" s="32">
        <v>4.90818</v>
      </c>
      <c r="BX27" s="15"/>
      <c r="BY27" s="22">
        <v>0.9</v>
      </c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 t="s">
        <v>218</v>
      </c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</row>
    <row r="28" ht="14.25" customHeight="1">
      <c r="A28" s="22" t="s">
        <v>219</v>
      </c>
      <c r="B28" s="22"/>
      <c r="C28" s="22" t="s">
        <v>139</v>
      </c>
      <c r="D28" s="22"/>
      <c r="E28" s="22"/>
      <c r="F28" s="22"/>
      <c r="G28" s="22"/>
      <c r="H28" s="28" t="s">
        <v>141</v>
      </c>
      <c r="I28" s="28"/>
      <c r="J28" s="28"/>
      <c r="K28" s="28" t="s">
        <v>220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>
        <v>1.0</v>
      </c>
      <c r="AE28" s="22"/>
      <c r="AF28" s="22" t="s">
        <v>145</v>
      </c>
      <c r="AG28" s="22" t="s">
        <v>146</v>
      </c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29">
        <v>46099.0</v>
      </c>
      <c r="BE28" s="30">
        <f t="shared" si="6"/>
        <v>46099</v>
      </c>
      <c r="BF28" s="31" t="str">
        <f t="shared" si="7"/>
        <v>#REF!</v>
      </c>
      <c r="BG28" s="15" t="s">
        <v>147</v>
      </c>
      <c r="BH28" s="15"/>
      <c r="BI28" s="15"/>
      <c r="BJ28" s="22" t="s">
        <v>194</v>
      </c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 t="str">
        <f t="shared" si="8"/>
        <v>52,36666 4,90818</v>
      </c>
      <c r="BV28" s="32">
        <v>52.36666</v>
      </c>
      <c r="BW28" s="32">
        <v>4.90818</v>
      </c>
      <c r="BX28" s="15"/>
      <c r="BY28" s="22">
        <v>0.88</v>
      </c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</row>
    <row r="29" ht="14.25" customHeight="1">
      <c r="A29" s="22" t="s">
        <v>221</v>
      </c>
      <c r="B29" s="22"/>
      <c r="C29" s="22" t="s">
        <v>139</v>
      </c>
      <c r="D29" s="22"/>
      <c r="E29" s="22"/>
      <c r="F29" s="22"/>
      <c r="G29" s="22"/>
      <c r="H29" s="28" t="s">
        <v>202</v>
      </c>
      <c r="I29" s="28"/>
      <c r="J29" s="28"/>
      <c r="K29" s="28" t="s">
        <v>222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>
        <v>1.0</v>
      </c>
      <c r="AE29" s="22"/>
      <c r="AF29" s="22" t="s">
        <v>145</v>
      </c>
      <c r="AG29" s="22" t="s">
        <v>155</v>
      </c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29">
        <v>46099.0</v>
      </c>
      <c r="BE29" s="30">
        <f t="shared" si="6"/>
        <v>46099</v>
      </c>
      <c r="BF29" s="31" t="str">
        <f t="shared" si="7"/>
        <v>#REF!</v>
      </c>
      <c r="BG29" s="15" t="s">
        <v>147</v>
      </c>
      <c r="BH29" s="15"/>
      <c r="BI29" s="15"/>
      <c r="BJ29" s="22" t="s">
        <v>194</v>
      </c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 t="str">
        <f t="shared" si="8"/>
        <v>52,36666 4,90818</v>
      </c>
      <c r="BV29" s="32">
        <v>52.36666</v>
      </c>
      <c r="BW29" s="32">
        <v>4.90818</v>
      </c>
      <c r="BX29" s="15"/>
      <c r="BY29" s="22">
        <v>0.86</v>
      </c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 t="s">
        <v>223</v>
      </c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</row>
    <row r="30" ht="14.25" customHeight="1">
      <c r="A30" s="22" t="s">
        <v>224</v>
      </c>
      <c r="B30" s="22"/>
      <c r="C30" s="22" t="s">
        <v>139</v>
      </c>
      <c r="D30" s="22"/>
      <c r="E30" s="22"/>
      <c r="F30" s="22"/>
      <c r="G30" s="22"/>
      <c r="H30" s="28" t="s">
        <v>141</v>
      </c>
      <c r="I30" s="28"/>
      <c r="J30" s="28"/>
      <c r="K30" s="28" t="s">
        <v>212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>
        <v>1.0</v>
      </c>
      <c r="AE30" s="22"/>
      <c r="AF30" s="22" t="s">
        <v>161</v>
      </c>
      <c r="AG30" s="22" t="s">
        <v>146</v>
      </c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29">
        <v>46099.0</v>
      </c>
      <c r="BE30" s="30">
        <f t="shared" si="6"/>
        <v>46099</v>
      </c>
      <c r="BF30" s="31" t="str">
        <f t="shared" si="7"/>
        <v>#REF!</v>
      </c>
      <c r="BG30" s="15" t="s">
        <v>147</v>
      </c>
      <c r="BH30" s="15"/>
      <c r="BI30" s="15"/>
      <c r="BJ30" s="22" t="s">
        <v>194</v>
      </c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 t="str">
        <f t="shared" si="8"/>
        <v>52,36666 4,90818</v>
      </c>
      <c r="BV30" s="32">
        <v>52.36666</v>
      </c>
      <c r="BW30" s="32">
        <v>4.90818</v>
      </c>
      <c r="BX30" s="15"/>
      <c r="BY30" s="22">
        <v>0.84</v>
      </c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 t="s">
        <v>225</v>
      </c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</row>
    <row r="31" ht="14.25" customHeight="1">
      <c r="A31" s="22" t="s">
        <v>226</v>
      </c>
      <c r="B31" s="22"/>
      <c r="C31" s="22" t="s">
        <v>139</v>
      </c>
      <c r="D31" s="22"/>
      <c r="E31" s="22"/>
      <c r="F31" s="22"/>
      <c r="G31" s="22"/>
      <c r="H31" s="28" t="s">
        <v>202</v>
      </c>
      <c r="I31" s="28"/>
      <c r="J31" s="28"/>
      <c r="K31" s="28" t="s">
        <v>227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>
        <v>1.0</v>
      </c>
      <c r="AE31" s="22"/>
      <c r="AF31" s="22" t="s">
        <v>161</v>
      </c>
      <c r="AG31" s="22" t="s">
        <v>146</v>
      </c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29">
        <v>46099.0</v>
      </c>
      <c r="BE31" s="30">
        <f t="shared" si="6"/>
        <v>46099</v>
      </c>
      <c r="BF31" s="31" t="str">
        <f t="shared" si="7"/>
        <v>#REF!</v>
      </c>
      <c r="BG31" s="15" t="s">
        <v>147</v>
      </c>
      <c r="BH31" s="15"/>
      <c r="BI31" s="15"/>
      <c r="BJ31" s="22" t="s">
        <v>194</v>
      </c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 t="str">
        <f t="shared" si="8"/>
        <v>52,36666 4,90818</v>
      </c>
      <c r="BV31" s="32">
        <v>52.36666</v>
      </c>
      <c r="BW31" s="32">
        <v>4.90818</v>
      </c>
      <c r="BX31" s="15"/>
      <c r="BY31" s="22">
        <v>0.82</v>
      </c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 t="s">
        <v>228</v>
      </c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</row>
    <row r="32" ht="14.25" customHeight="1">
      <c r="A32" s="22" t="s">
        <v>229</v>
      </c>
      <c r="B32" s="22"/>
      <c r="C32" s="22" t="s">
        <v>139</v>
      </c>
      <c r="D32" s="22"/>
      <c r="E32" s="22"/>
      <c r="F32" s="22"/>
      <c r="G32" s="22"/>
      <c r="H32" s="28" t="s">
        <v>202</v>
      </c>
      <c r="I32" s="28"/>
      <c r="J32" s="28"/>
      <c r="K32" s="28" t="s">
        <v>222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>
        <v>1.0</v>
      </c>
      <c r="AE32" s="22"/>
      <c r="AF32" s="22" t="s">
        <v>145</v>
      </c>
      <c r="AG32" s="22" t="s">
        <v>155</v>
      </c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29">
        <v>46099.0</v>
      </c>
      <c r="BE32" s="30">
        <f t="shared" si="6"/>
        <v>46099</v>
      </c>
      <c r="BF32" s="31" t="str">
        <f t="shared" si="7"/>
        <v>#REF!</v>
      </c>
      <c r="BG32" s="15" t="s">
        <v>147</v>
      </c>
      <c r="BH32" s="15"/>
      <c r="BI32" s="15"/>
      <c r="BJ32" s="22" t="s">
        <v>194</v>
      </c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 t="str">
        <f t="shared" si="8"/>
        <v>52,36666 4,90818</v>
      </c>
      <c r="BV32" s="32">
        <v>52.36666</v>
      </c>
      <c r="BW32" s="32">
        <v>4.90818</v>
      </c>
      <c r="BX32" s="15"/>
      <c r="BY32" s="22">
        <v>0.8</v>
      </c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 t="s">
        <v>230</v>
      </c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</row>
    <row r="33" ht="14.25" customHeight="1">
      <c r="A33" s="22" t="s">
        <v>231</v>
      </c>
      <c r="B33" s="22"/>
      <c r="C33" s="22" t="s">
        <v>139</v>
      </c>
      <c r="D33" s="22"/>
      <c r="E33" s="22"/>
      <c r="F33" s="22"/>
      <c r="G33" s="22"/>
      <c r="H33" s="28" t="s">
        <v>141</v>
      </c>
      <c r="I33" s="28"/>
      <c r="J33" s="28"/>
      <c r="K33" s="28" t="s">
        <v>232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>
        <v>1.0</v>
      </c>
      <c r="AE33" s="22"/>
      <c r="AF33" s="22" t="s">
        <v>145</v>
      </c>
      <c r="AG33" s="22" t="s">
        <v>146</v>
      </c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29">
        <v>46099.0</v>
      </c>
      <c r="BE33" s="30">
        <f t="shared" si="6"/>
        <v>46099</v>
      </c>
      <c r="BF33" s="31" t="str">
        <f t="shared" si="7"/>
        <v>#REF!</v>
      </c>
      <c r="BG33" s="15" t="s">
        <v>147</v>
      </c>
      <c r="BH33" s="15"/>
      <c r="BI33" s="15"/>
      <c r="BJ33" s="22" t="s">
        <v>194</v>
      </c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 t="str">
        <f t="shared" si="8"/>
        <v>52,36666 4,90818</v>
      </c>
      <c r="BV33" s="32">
        <v>52.36666</v>
      </c>
      <c r="BW33" s="32">
        <v>4.90818</v>
      </c>
      <c r="BX33" s="15"/>
      <c r="BY33" s="22">
        <v>0.78</v>
      </c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 t="s">
        <v>233</v>
      </c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</row>
    <row r="34" ht="14.25" customHeight="1">
      <c r="A34" s="22" t="s">
        <v>234</v>
      </c>
      <c r="B34" s="22"/>
      <c r="C34" s="22" t="s">
        <v>139</v>
      </c>
      <c r="D34" s="22"/>
      <c r="E34" s="22"/>
      <c r="F34" s="22"/>
      <c r="G34" s="22"/>
      <c r="H34" s="28" t="s">
        <v>202</v>
      </c>
      <c r="I34" s="28"/>
      <c r="J34" s="28"/>
      <c r="K34" s="28" t="s">
        <v>173</v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>
        <v>1.0</v>
      </c>
      <c r="AE34" s="22"/>
      <c r="AF34" s="22" t="s">
        <v>145</v>
      </c>
      <c r="AG34" s="22" t="s">
        <v>155</v>
      </c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29">
        <v>46099.0</v>
      </c>
      <c r="BE34" s="30">
        <f t="shared" si="6"/>
        <v>46099</v>
      </c>
      <c r="BF34" s="31" t="str">
        <f t="shared" si="7"/>
        <v>#REF!</v>
      </c>
      <c r="BG34" s="15" t="s">
        <v>147</v>
      </c>
      <c r="BH34" s="15"/>
      <c r="BI34" s="15"/>
      <c r="BJ34" s="22" t="s">
        <v>194</v>
      </c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 t="str">
        <f t="shared" si="8"/>
        <v>52,36666 4,90818</v>
      </c>
      <c r="BV34" s="32">
        <v>52.36666</v>
      </c>
      <c r="BW34" s="32">
        <v>4.90818</v>
      </c>
      <c r="BX34" s="15"/>
      <c r="BY34" s="22">
        <v>0.76</v>
      </c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 t="s">
        <v>235</v>
      </c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</row>
    <row r="35" ht="14.25" customHeight="1">
      <c r="A35" s="22" t="s">
        <v>236</v>
      </c>
      <c r="B35" s="22"/>
      <c r="C35" s="22" t="s">
        <v>139</v>
      </c>
      <c r="D35" s="22"/>
      <c r="E35" s="22"/>
      <c r="F35" s="22"/>
      <c r="G35" s="22"/>
      <c r="H35" s="28" t="s">
        <v>159</v>
      </c>
      <c r="I35" s="28"/>
      <c r="J35" s="28"/>
      <c r="K35" s="28" t="s">
        <v>186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>
        <v>1.0</v>
      </c>
      <c r="AE35" s="22"/>
      <c r="AF35" s="22" t="s">
        <v>145</v>
      </c>
      <c r="AG35" s="22" t="s">
        <v>146</v>
      </c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29">
        <v>46099.0</v>
      </c>
      <c r="BE35" s="30">
        <f t="shared" si="6"/>
        <v>46099</v>
      </c>
      <c r="BF35" s="31" t="str">
        <f t="shared" si="7"/>
        <v>#REF!</v>
      </c>
      <c r="BG35" s="15" t="s">
        <v>147</v>
      </c>
      <c r="BH35" s="15"/>
      <c r="BI35" s="15"/>
      <c r="BJ35" s="22" t="s">
        <v>194</v>
      </c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 t="str">
        <f t="shared" si="8"/>
        <v>52,36666 4,90818</v>
      </c>
      <c r="BV35" s="32">
        <v>52.36666</v>
      </c>
      <c r="BW35" s="32">
        <v>4.90818</v>
      </c>
      <c r="BX35" s="15"/>
      <c r="BY35" s="22">
        <v>0.74</v>
      </c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 t="s">
        <v>237</v>
      </c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</row>
    <row r="36" ht="14.25" customHeight="1">
      <c r="A36" s="22" t="s">
        <v>238</v>
      </c>
      <c r="B36" s="22"/>
      <c r="C36" s="22" t="s">
        <v>139</v>
      </c>
      <c r="D36" s="22"/>
      <c r="E36" s="22"/>
      <c r="F36" s="22"/>
      <c r="G36" s="22"/>
      <c r="H36" s="28" t="s">
        <v>202</v>
      </c>
      <c r="I36" s="28"/>
      <c r="J36" s="28"/>
      <c r="K36" s="28" t="s">
        <v>222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>
        <v>1.0</v>
      </c>
      <c r="AE36" s="22"/>
      <c r="AF36" s="22" t="s">
        <v>145</v>
      </c>
      <c r="AG36" s="22" t="s">
        <v>155</v>
      </c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29">
        <v>46099.0</v>
      </c>
      <c r="BE36" s="30">
        <f t="shared" si="6"/>
        <v>46099</v>
      </c>
      <c r="BF36" s="31" t="str">
        <f t="shared" si="7"/>
        <v>#REF!</v>
      </c>
      <c r="BG36" s="15" t="s">
        <v>147</v>
      </c>
      <c r="BH36" s="15"/>
      <c r="BI36" s="15"/>
      <c r="BJ36" s="22" t="s">
        <v>194</v>
      </c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 t="str">
        <f t="shared" si="8"/>
        <v>52,36666 4,90818</v>
      </c>
      <c r="BV36" s="32">
        <v>52.36666</v>
      </c>
      <c r="BW36" s="32">
        <v>4.90818</v>
      </c>
      <c r="BX36" s="15"/>
      <c r="BY36" s="22">
        <v>0.72</v>
      </c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 t="s">
        <v>239</v>
      </c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</row>
    <row r="37" ht="14.25" customHeight="1">
      <c r="A37" s="22" t="s">
        <v>240</v>
      </c>
      <c r="B37" s="22"/>
      <c r="C37" s="22" t="s">
        <v>139</v>
      </c>
      <c r="D37" s="22"/>
      <c r="E37" s="22"/>
      <c r="F37" s="22"/>
      <c r="G37" s="22"/>
      <c r="H37" s="28" t="s">
        <v>202</v>
      </c>
      <c r="I37" s="28"/>
      <c r="J37" s="28"/>
      <c r="K37" s="28" t="s">
        <v>222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>
        <v>1.0</v>
      </c>
      <c r="AE37" s="22"/>
      <c r="AF37" s="22" t="s">
        <v>145</v>
      </c>
      <c r="AG37" s="22" t="s">
        <v>155</v>
      </c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29">
        <v>46099.0</v>
      </c>
      <c r="BE37" s="30">
        <f t="shared" si="6"/>
        <v>46099</v>
      </c>
      <c r="BF37" s="31" t="str">
        <f t="shared" si="7"/>
        <v>#REF!</v>
      </c>
      <c r="BG37" s="15" t="s">
        <v>147</v>
      </c>
      <c r="BH37" s="15"/>
      <c r="BI37" s="15"/>
      <c r="BJ37" s="22" t="s">
        <v>194</v>
      </c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 t="str">
        <f t="shared" si="8"/>
        <v>52,36666 4,90818</v>
      </c>
      <c r="BV37" s="32">
        <v>52.36666</v>
      </c>
      <c r="BW37" s="32">
        <v>4.90818</v>
      </c>
      <c r="BX37" s="15"/>
      <c r="BY37" s="22">
        <v>0.7</v>
      </c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 t="s">
        <v>241</v>
      </c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</row>
    <row r="38" ht="14.25" customHeight="1">
      <c r="A38" s="22" t="s">
        <v>242</v>
      </c>
      <c r="B38" s="22"/>
      <c r="C38" s="22" t="s">
        <v>139</v>
      </c>
      <c r="D38" s="22"/>
      <c r="E38" s="22"/>
      <c r="F38" s="22"/>
      <c r="G38" s="22"/>
      <c r="H38" s="28" t="s">
        <v>202</v>
      </c>
      <c r="I38" s="28"/>
      <c r="J38" s="28"/>
      <c r="K38" s="28" t="s">
        <v>222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>
        <v>1.0</v>
      </c>
      <c r="AE38" s="22"/>
      <c r="AF38" s="22" t="s">
        <v>145</v>
      </c>
      <c r="AG38" s="22" t="s">
        <v>155</v>
      </c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29">
        <v>46099.0</v>
      </c>
      <c r="BE38" s="30">
        <f t="shared" si="6"/>
        <v>46099</v>
      </c>
      <c r="BF38" s="31" t="str">
        <f t="shared" si="7"/>
        <v>#REF!</v>
      </c>
      <c r="BG38" s="15" t="s">
        <v>147</v>
      </c>
      <c r="BH38" s="15"/>
      <c r="BI38" s="15"/>
      <c r="BJ38" s="22" t="s">
        <v>194</v>
      </c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 t="str">
        <f t="shared" si="8"/>
        <v>52,36666 4,90818</v>
      </c>
      <c r="BV38" s="32">
        <v>52.36666</v>
      </c>
      <c r="BW38" s="32">
        <v>4.90818</v>
      </c>
      <c r="BX38" s="15"/>
      <c r="BY38" s="22">
        <v>0.68</v>
      </c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 t="s">
        <v>243</v>
      </c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</row>
    <row r="39" ht="14.25" customHeight="1">
      <c r="A39" s="22" t="s">
        <v>244</v>
      </c>
      <c r="B39" s="22"/>
      <c r="C39" s="22" t="s">
        <v>139</v>
      </c>
      <c r="D39" s="22"/>
      <c r="E39" s="22"/>
      <c r="F39" s="22"/>
      <c r="G39" s="22"/>
      <c r="H39" s="28" t="s">
        <v>202</v>
      </c>
      <c r="I39" s="28"/>
      <c r="J39" s="28"/>
      <c r="K39" s="28" t="s">
        <v>222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>
        <v>1.0</v>
      </c>
      <c r="AE39" s="22"/>
      <c r="AF39" s="22" t="s">
        <v>145</v>
      </c>
      <c r="AG39" s="22" t="s">
        <v>146</v>
      </c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29">
        <v>46099.0</v>
      </c>
      <c r="BE39" s="30">
        <f t="shared" si="6"/>
        <v>46099</v>
      </c>
      <c r="BF39" s="31" t="str">
        <f t="shared" si="7"/>
        <v>#REF!</v>
      </c>
      <c r="BG39" s="15" t="s">
        <v>147</v>
      </c>
      <c r="BH39" s="15"/>
      <c r="BI39" s="15"/>
      <c r="BJ39" s="22" t="s">
        <v>194</v>
      </c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 t="str">
        <f t="shared" si="8"/>
        <v>52,36666 4,90818</v>
      </c>
      <c r="BV39" s="32">
        <v>52.36666</v>
      </c>
      <c r="BW39" s="32">
        <v>4.90818</v>
      </c>
      <c r="BX39" s="15"/>
      <c r="BY39" s="22">
        <v>0.66</v>
      </c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 t="s">
        <v>245</v>
      </c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</row>
    <row r="40" ht="14.25" customHeight="1">
      <c r="A40" s="22" t="s">
        <v>246</v>
      </c>
      <c r="B40" s="22"/>
      <c r="C40" s="22" t="s">
        <v>139</v>
      </c>
      <c r="D40" s="22"/>
      <c r="E40" s="22"/>
      <c r="F40" s="22"/>
      <c r="G40" s="22"/>
      <c r="H40" s="28" t="s">
        <v>159</v>
      </c>
      <c r="I40" s="28"/>
      <c r="J40" s="28"/>
      <c r="K40" s="28" t="s">
        <v>247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>
        <v>1.0</v>
      </c>
      <c r="AE40" s="22"/>
      <c r="AF40" s="22" t="s">
        <v>145</v>
      </c>
      <c r="AG40" s="22" t="str">
        <f>AG41</f>
        <v>Adult</v>
      </c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29">
        <v>46099.0</v>
      </c>
      <c r="BE40" s="30">
        <f t="shared" si="6"/>
        <v>46099</v>
      </c>
      <c r="BF40" s="31" t="str">
        <f t="shared" si="7"/>
        <v>#REF!</v>
      </c>
      <c r="BG40" s="15" t="s">
        <v>147</v>
      </c>
      <c r="BH40" s="15"/>
      <c r="BI40" s="15"/>
      <c r="BJ40" s="22" t="s">
        <v>194</v>
      </c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 t="str">
        <f t="shared" si="8"/>
        <v>52,36666 4,90818</v>
      </c>
      <c r="BV40" s="32">
        <v>52.36666</v>
      </c>
      <c r="BW40" s="32">
        <v>4.90818</v>
      </c>
      <c r="BX40" s="15"/>
      <c r="BY40" s="22">
        <v>0.639999999999999</v>
      </c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</row>
    <row r="41" ht="14.25" customHeight="1">
      <c r="A41" s="22" t="s">
        <v>248</v>
      </c>
      <c r="B41" s="22"/>
      <c r="C41" s="22" t="s">
        <v>139</v>
      </c>
      <c r="D41" s="22"/>
      <c r="E41" s="22"/>
      <c r="F41" s="22"/>
      <c r="G41" s="22"/>
      <c r="H41" s="28" t="s">
        <v>151</v>
      </c>
      <c r="I41" s="28"/>
      <c r="J41" s="28"/>
      <c r="K41" s="28" t="s">
        <v>209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>
        <v>1.0</v>
      </c>
      <c r="AE41" s="22"/>
      <c r="AF41" s="22" t="s">
        <v>145</v>
      </c>
      <c r="AG41" s="22" t="s">
        <v>146</v>
      </c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29">
        <v>46099.0</v>
      </c>
      <c r="BE41" s="30">
        <f t="shared" si="6"/>
        <v>46099</v>
      </c>
      <c r="BF41" s="31" t="str">
        <f t="shared" si="7"/>
        <v>#REF!</v>
      </c>
      <c r="BG41" s="15" t="s">
        <v>147</v>
      </c>
      <c r="BH41" s="15"/>
      <c r="BI41" s="15"/>
      <c r="BJ41" s="22" t="s">
        <v>194</v>
      </c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 t="str">
        <f t="shared" si="8"/>
        <v>52,36666 4,90818</v>
      </c>
      <c r="BV41" s="32">
        <v>52.36666</v>
      </c>
      <c r="BW41" s="32">
        <v>4.90818</v>
      </c>
      <c r="BX41" s="15"/>
      <c r="BY41" s="22">
        <v>0.619999999999999</v>
      </c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 t="s">
        <v>249</v>
      </c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</row>
    <row r="42" ht="14.25" customHeight="1">
      <c r="A42" s="22" t="s">
        <v>250</v>
      </c>
      <c r="B42" s="22"/>
      <c r="C42" s="22" t="s">
        <v>139</v>
      </c>
      <c r="D42" s="22"/>
      <c r="E42" s="22"/>
      <c r="F42" s="22"/>
      <c r="G42" s="22"/>
      <c r="H42" s="28" t="s">
        <v>159</v>
      </c>
      <c r="I42" s="28"/>
      <c r="J42" s="28"/>
      <c r="K42" s="28" t="s">
        <v>206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>
        <v>1.0</v>
      </c>
      <c r="AE42" s="22"/>
      <c r="AF42" s="22" t="s">
        <v>251</v>
      </c>
      <c r="AG42" s="22" t="s">
        <v>146</v>
      </c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29">
        <v>46099.0</v>
      </c>
      <c r="BE42" s="30">
        <f t="shared" si="6"/>
        <v>46099</v>
      </c>
      <c r="BF42" s="31" t="str">
        <f t="shared" si="7"/>
        <v>#REF!</v>
      </c>
      <c r="BG42" s="15" t="s">
        <v>147</v>
      </c>
      <c r="BH42" s="15"/>
      <c r="BI42" s="15"/>
      <c r="BJ42" s="22" t="s">
        <v>194</v>
      </c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 t="str">
        <f t="shared" si="8"/>
        <v>52,36666 4,90818</v>
      </c>
      <c r="BV42" s="32">
        <v>52.36666</v>
      </c>
      <c r="BW42" s="32">
        <v>4.90818</v>
      </c>
      <c r="BX42" s="15"/>
      <c r="BY42" s="22">
        <v>0.599999999999999</v>
      </c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 t="s">
        <v>252</v>
      </c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</row>
    <row r="43" ht="14.25" customHeight="1">
      <c r="A43" s="22" t="s">
        <v>253</v>
      </c>
      <c r="B43" s="22"/>
      <c r="C43" s="22" t="s">
        <v>139</v>
      </c>
      <c r="D43" s="22"/>
      <c r="E43" s="22"/>
      <c r="F43" s="22"/>
      <c r="G43" s="22"/>
      <c r="H43" s="28" t="s">
        <v>141</v>
      </c>
      <c r="I43" s="28"/>
      <c r="J43" s="28"/>
      <c r="K43" s="28" t="s">
        <v>254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>
        <v>1.0</v>
      </c>
      <c r="AE43" s="22"/>
      <c r="AF43" s="22" t="s">
        <v>145</v>
      </c>
      <c r="AG43" s="22" t="s">
        <v>146</v>
      </c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29">
        <v>46099.0</v>
      </c>
      <c r="BE43" s="30">
        <f t="shared" si="6"/>
        <v>46099</v>
      </c>
      <c r="BF43" s="31" t="str">
        <f t="shared" si="7"/>
        <v>#REF!</v>
      </c>
      <c r="BG43" s="15" t="s">
        <v>147</v>
      </c>
      <c r="BH43" s="15"/>
      <c r="BI43" s="15"/>
      <c r="BJ43" s="22" t="s">
        <v>194</v>
      </c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 t="str">
        <f t="shared" si="8"/>
        <v>52,36666 4,90818</v>
      </c>
      <c r="BV43" s="32">
        <v>52.36666</v>
      </c>
      <c r="BW43" s="32">
        <v>4.90818</v>
      </c>
      <c r="BX43" s="15"/>
      <c r="BY43" s="22">
        <v>0.579999999999999</v>
      </c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 t="s">
        <v>255</v>
      </c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</row>
    <row r="44" ht="14.25" customHeight="1">
      <c r="A44" s="22" t="s">
        <v>256</v>
      </c>
      <c r="B44" s="22"/>
      <c r="C44" s="22" t="s">
        <v>139</v>
      </c>
      <c r="D44" s="22"/>
      <c r="E44" s="22"/>
      <c r="F44" s="22"/>
      <c r="G44" s="22"/>
      <c r="H44" s="28" t="s">
        <v>159</v>
      </c>
      <c r="I44" s="28"/>
      <c r="J44" s="28"/>
      <c r="K44" s="28" t="s">
        <v>257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>
        <v>1.0</v>
      </c>
      <c r="AE44" s="22"/>
      <c r="AF44" s="22" t="s">
        <v>145</v>
      </c>
      <c r="AG44" s="22" t="s">
        <v>146</v>
      </c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29">
        <v>46099.0</v>
      </c>
      <c r="BE44" s="30">
        <f t="shared" si="6"/>
        <v>46099</v>
      </c>
      <c r="BF44" s="31" t="str">
        <f t="shared" si="7"/>
        <v>#REF!</v>
      </c>
      <c r="BG44" s="15" t="s">
        <v>147</v>
      </c>
      <c r="BH44" s="15"/>
      <c r="BI44" s="15"/>
      <c r="BJ44" s="22" t="s">
        <v>194</v>
      </c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 t="str">
        <f t="shared" si="8"/>
        <v>52,36666 4,90818</v>
      </c>
      <c r="BV44" s="32">
        <v>52.36666</v>
      </c>
      <c r="BW44" s="32">
        <v>4.90818</v>
      </c>
      <c r="BX44" s="15"/>
      <c r="BY44" s="22">
        <v>0.559999999999999</v>
      </c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</row>
    <row r="45" ht="14.25" customHeight="1">
      <c r="A45" s="22" t="s">
        <v>258</v>
      </c>
      <c r="B45" s="22"/>
      <c r="C45" s="22" t="s">
        <v>139</v>
      </c>
      <c r="D45" s="22"/>
      <c r="E45" s="22"/>
      <c r="F45" s="22"/>
      <c r="G45" s="22"/>
      <c r="H45" s="28" t="s">
        <v>141</v>
      </c>
      <c r="I45" s="28"/>
      <c r="J45" s="28"/>
      <c r="K45" s="28" t="s">
        <v>259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>
        <v>1.0</v>
      </c>
      <c r="AE45" s="22"/>
      <c r="AF45" s="22" t="s">
        <v>145</v>
      </c>
      <c r="AG45" s="22" t="s">
        <v>146</v>
      </c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29">
        <v>46099.0</v>
      </c>
      <c r="BE45" s="30">
        <f t="shared" si="6"/>
        <v>46099</v>
      </c>
      <c r="BF45" s="31" t="str">
        <f t="shared" si="7"/>
        <v>#REF!</v>
      </c>
      <c r="BG45" s="15" t="s">
        <v>147</v>
      </c>
      <c r="BH45" s="15"/>
      <c r="BI45" s="15"/>
      <c r="BJ45" s="22" t="s">
        <v>194</v>
      </c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 t="str">
        <f t="shared" si="8"/>
        <v>52,36666 4,90818</v>
      </c>
      <c r="BV45" s="32">
        <v>52.36666</v>
      </c>
      <c r="BW45" s="32">
        <v>4.90818</v>
      </c>
      <c r="BX45" s="15"/>
      <c r="BY45" s="22">
        <v>0.539999999999999</v>
      </c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</row>
    <row r="46" ht="14.25" customHeight="1">
      <c r="A46" s="22" t="s">
        <v>260</v>
      </c>
      <c r="B46" s="22"/>
      <c r="C46" s="22" t="s">
        <v>139</v>
      </c>
      <c r="D46" s="22"/>
      <c r="E46" s="22"/>
      <c r="F46" s="22"/>
      <c r="G46" s="22"/>
      <c r="H46" s="28" t="s">
        <v>159</v>
      </c>
      <c r="I46" s="28"/>
      <c r="J46" s="28"/>
      <c r="K46" s="28" t="s">
        <v>176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>
        <v>1.0</v>
      </c>
      <c r="AE46" s="22"/>
      <c r="AF46" s="22" t="s">
        <v>161</v>
      </c>
      <c r="AG46" s="22" t="s">
        <v>146</v>
      </c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29">
        <v>46099.0</v>
      </c>
      <c r="BE46" s="30">
        <f t="shared" si="6"/>
        <v>46099</v>
      </c>
      <c r="BF46" s="31" t="str">
        <f t="shared" si="7"/>
        <v>#REF!</v>
      </c>
      <c r="BG46" s="15" t="s">
        <v>147</v>
      </c>
      <c r="BH46" s="15"/>
      <c r="BI46" s="15"/>
      <c r="BJ46" s="22" t="s">
        <v>194</v>
      </c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 t="str">
        <f t="shared" si="8"/>
        <v>52,36666 4,90818</v>
      </c>
      <c r="BV46" s="32">
        <v>52.36666</v>
      </c>
      <c r="BW46" s="32">
        <v>4.90818</v>
      </c>
      <c r="BX46" s="15"/>
      <c r="BY46" s="22">
        <v>0.519999999999999</v>
      </c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 t="s">
        <v>261</v>
      </c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</row>
    <row r="47" ht="14.25" customHeight="1">
      <c r="A47" s="22" t="s">
        <v>262</v>
      </c>
      <c r="B47" s="22"/>
      <c r="C47" s="22" t="s">
        <v>139</v>
      </c>
      <c r="D47" s="22"/>
      <c r="E47" s="22"/>
      <c r="F47" s="22"/>
      <c r="G47" s="22"/>
      <c r="H47" s="28" t="s">
        <v>159</v>
      </c>
      <c r="I47" s="28"/>
      <c r="J47" s="28"/>
      <c r="K47" s="28" t="s">
        <v>263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>
        <v>1.0</v>
      </c>
      <c r="AE47" s="22"/>
      <c r="AF47" s="22" t="s">
        <v>145</v>
      </c>
      <c r="AG47" s="22" t="s">
        <v>146</v>
      </c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29">
        <v>46099.0</v>
      </c>
      <c r="BE47" s="30">
        <f t="shared" si="6"/>
        <v>46099</v>
      </c>
      <c r="BF47" s="31" t="str">
        <f t="shared" si="7"/>
        <v>#REF!</v>
      </c>
      <c r="BG47" s="15" t="s">
        <v>147</v>
      </c>
      <c r="BH47" s="15"/>
      <c r="BI47" s="15"/>
      <c r="BJ47" s="22" t="s">
        <v>194</v>
      </c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 t="str">
        <f t="shared" si="8"/>
        <v>52,36666 4,90818</v>
      </c>
      <c r="BV47" s="32">
        <v>52.36666</v>
      </c>
      <c r="BW47" s="32">
        <v>4.90818</v>
      </c>
      <c r="BX47" s="15"/>
      <c r="BY47" s="22">
        <v>1.0</v>
      </c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 t="s">
        <v>264</v>
      </c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</row>
    <row r="48" ht="14.25" customHeight="1">
      <c r="A48" s="22" t="s">
        <v>265</v>
      </c>
      <c r="B48" s="22"/>
      <c r="C48" s="22" t="s">
        <v>139</v>
      </c>
      <c r="D48" s="22"/>
      <c r="E48" s="22"/>
      <c r="F48" s="22"/>
      <c r="G48" s="22"/>
      <c r="H48" s="28" t="s">
        <v>266</v>
      </c>
      <c r="I48" s="28"/>
      <c r="J48" s="28"/>
      <c r="K48" s="28" t="s">
        <v>267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>
        <v>1.0</v>
      </c>
      <c r="AE48" s="22"/>
      <c r="AF48" s="22" t="s">
        <v>145</v>
      </c>
      <c r="AG48" s="22" t="s">
        <v>146</v>
      </c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29">
        <v>46099.0</v>
      </c>
      <c r="BE48" s="30">
        <f t="shared" si="6"/>
        <v>46099</v>
      </c>
      <c r="BF48" s="31" t="str">
        <f t="shared" si="7"/>
        <v>#REF!</v>
      </c>
      <c r="BG48" s="15" t="s">
        <v>147</v>
      </c>
      <c r="BH48" s="15"/>
      <c r="BI48" s="15"/>
      <c r="BJ48" s="22" t="s">
        <v>194</v>
      </c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 t="str">
        <f t="shared" si="8"/>
        <v>52,36666 4,90818</v>
      </c>
      <c r="BV48" s="32">
        <v>52.36666</v>
      </c>
      <c r="BW48" s="32">
        <v>4.90818</v>
      </c>
      <c r="BX48" s="15"/>
      <c r="BY48" s="22">
        <v>1.0</v>
      </c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 t="s">
        <v>268</v>
      </c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</row>
    <row r="49" ht="14.25" customHeight="1">
      <c r="A49" s="22" t="s">
        <v>269</v>
      </c>
      <c r="B49" s="22"/>
      <c r="C49" s="22" t="s">
        <v>139</v>
      </c>
      <c r="D49" s="22"/>
      <c r="E49" s="22"/>
      <c r="F49" s="22"/>
      <c r="G49" s="22"/>
      <c r="H49" s="28" t="s">
        <v>159</v>
      </c>
      <c r="I49" s="28"/>
      <c r="J49" s="28"/>
      <c r="K49" s="28" t="s">
        <v>257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>
        <v>1.0</v>
      </c>
      <c r="AE49" s="22"/>
      <c r="AF49" s="22" t="s">
        <v>145</v>
      </c>
      <c r="AG49" s="22" t="s">
        <v>146</v>
      </c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29">
        <v>46099.0</v>
      </c>
      <c r="BE49" s="30">
        <f t="shared" si="6"/>
        <v>46099</v>
      </c>
      <c r="BF49" s="31" t="str">
        <f t="shared" si="7"/>
        <v>#REF!</v>
      </c>
      <c r="BG49" s="15" t="s">
        <v>147</v>
      </c>
      <c r="BH49" s="15"/>
      <c r="BI49" s="15"/>
      <c r="BJ49" s="22" t="s">
        <v>194</v>
      </c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 t="str">
        <f t="shared" si="8"/>
        <v>52,36666 4,90818</v>
      </c>
      <c r="BV49" s="32">
        <v>52.36666</v>
      </c>
      <c r="BW49" s="32">
        <v>4.90818</v>
      </c>
      <c r="BX49" s="15"/>
      <c r="BY49" s="22">
        <v>1.0</v>
      </c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 t="s">
        <v>270</v>
      </c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</row>
    <row r="50" ht="14.25" customHeight="1">
      <c r="A50" s="22" t="s">
        <v>271</v>
      </c>
      <c r="B50" s="22"/>
      <c r="C50" s="22" t="s">
        <v>139</v>
      </c>
      <c r="D50" s="22"/>
      <c r="E50" s="22"/>
      <c r="F50" s="22"/>
      <c r="G50" s="22"/>
      <c r="H50" s="28" t="s">
        <v>159</v>
      </c>
      <c r="I50" s="28"/>
      <c r="J50" s="28"/>
      <c r="K50" s="28" t="s">
        <v>160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>
        <v>1.0</v>
      </c>
      <c r="AE50" s="22"/>
      <c r="AF50" s="22" t="s">
        <v>145</v>
      </c>
      <c r="AG50" s="22" t="s">
        <v>146</v>
      </c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29">
        <v>46099.0</v>
      </c>
      <c r="BE50" s="30">
        <f t="shared" si="6"/>
        <v>46099</v>
      </c>
      <c r="BF50" s="31" t="str">
        <f t="shared" si="7"/>
        <v>#REF!</v>
      </c>
      <c r="BG50" s="15" t="s">
        <v>147</v>
      </c>
      <c r="BH50" s="15"/>
      <c r="BI50" s="15"/>
      <c r="BJ50" s="22" t="s">
        <v>194</v>
      </c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 t="str">
        <f t="shared" si="8"/>
        <v>52,36666 4,90818</v>
      </c>
      <c r="BV50" s="32">
        <v>52.36666</v>
      </c>
      <c r="BW50" s="32">
        <v>4.90818</v>
      </c>
      <c r="BX50" s="15"/>
      <c r="BY50" s="22">
        <v>1.0</v>
      </c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 t="s">
        <v>272</v>
      </c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</row>
    <row r="51" ht="14.25" customHeight="1">
      <c r="A51" s="22" t="s">
        <v>273</v>
      </c>
      <c r="B51" s="22"/>
      <c r="C51" s="22" t="s">
        <v>139</v>
      </c>
      <c r="D51" s="22"/>
      <c r="E51" s="22"/>
      <c r="F51" s="22"/>
      <c r="G51" s="22"/>
      <c r="H51" s="28" t="s">
        <v>159</v>
      </c>
      <c r="I51" s="28"/>
      <c r="J51" s="28"/>
      <c r="K51" s="28" t="s">
        <v>274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>
        <v>1.0</v>
      </c>
      <c r="AE51" s="22"/>
      <c r="AF51" s="22" t="s">
        <v>145</v>
      </c>
      <c r="AG51" s="22" t="s">
        <v>146</v>
      </c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29">
        <v>46099.0</v>
      </c>
      <c r="BE51" s="30">
        <f t="shared" si="6"/>
        <v>46099</v>
      </c>
      <c r="BF51" s="31" t="str">
        <f t="shared" si="7"/>
        <v>#REF!</v>
      </c>
      <c r="BG51" s="15" t="s">
        <v>147</v>
      </c>
      <c r="BH51" s="15"/>
      <c r="BI51" s="15"/>
      <c r="BJ51" s="22" t="s">
        <v>194</v>
      </c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 t="str">
        <f t="shared" si="8"/>
        <v>52,36666 4,90818</v>
      </c>
      <c r="BV51" s="32">
        <v>52.36666</v>
      </c>
      <c r="BW51" s="32">
        <v>4.90818</v>
      </c>
      <c r="BX51" s="15"/>
      <c r="BY51" s="22">
        <v>1.0</v>
      </c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 t="s">
        <v>275</v>
      </c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</row>
    <row r="52" ht="14.25" customHeight="1">
      <c r="A52" s="22" t="s">
        <v>276</v>
      </c>
      <c r="B52" s="22"/>
      <c r="C52" s="22" t="s">
        <v>139</v>
      </c>
      <c r="D52" s="22"/>
      <c r="E52" s="22"/>
      <c r="F52" s="22"/>
      <c r="G52" s="22"/>
      <c r="H52" s="28" t="s">
        <v>141</v>
      </c>
      <c r="I52" s="28"/>
      <c r="J52" s="28"/>
      <c r="K52" s="28" t="s">
        <v>277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>
        <v>1.0</v>
      </c>
      <c r="AE52" s="22"/>
      <c r="AF52" s="22" t="s">
        <v>145</v>
      </c>
      <c r="AG52" s="22" t="s">
        <v>146</v>
      </c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29">
        <v>46099.0</v>
      </c>
      <c r="BE52" s="30">
        <f t="shared" si="6"/>
        <v>46099</v>
      </c>
      <c r="BF52" s="31" t="str">
        <f t="shared" si="7"/>
        <v>#REF!</v>
      </c>
      <c r="BG52" s="15" t="s">
        <v>147</v>
      </c>
      <c r="BH52" s="15"/>
      <c r="BI52" s="15"/>
      <c r="BJ52" s="22" t="s">
        <v>194</v>
      </c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 t="str">
        <f t="shared" si="8"/>
        <v>52,36666 4,90818</v>
      </c>
      <c r="BV52" s="32">
        <v>52.36666</v>
      </c>
      <c r="BW52" s="32">
        <v>4.90818</v>
      </c>
      <c r="BX52" s="15"/>
      <c r="BY52" s="22">
        <v>1.0</v>
      </c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 t="s">
        <v>278</v>
      </c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</row>
    <row r="53" ht="14.25" customHeight="1">
      <c r="A53" s="22" t="s">
        <v>279</v>
      </c>
      <c r="B53" s="22"/>
      <c r="C53" s="22" t="s">
        <v>139</v>
      </c>
      <c r="D53" s="22"/>
      <c r="E53" s="22"/>
      <c r="F53" s="22"/>
      <c r="G53" s="22"/>
      <c r="H53" s="28" t="s">
        <v>159</v>
      </c>
      <c r="I53" s="28"/>
      <c r="J53" s="28"/>
      <c r="K53" s="28" t="s">
        <v>280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>
        <v>1.0</v>
      </c>
      <c r="AE53" s="22"/>
      <c r="AF53" s="22" t="s">
        <v>145</v>
      </c>
      <c r="AG53" s="22" t="s">
        <v>146</v>
      </c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29">
        <v>46099.0</v>
      </c>
      <c r="BE53" s="30">
        <f t="shared" si="6"/>
        <v>46099</v>
      </c>
      <c r="BF53" s="31" t="str">
        <f t="shared" si="7"/>
        <v>#REF!</v>
      </c>
      <c r="BG53" s="15" t="s">
        <v>147</v>
      </c>
      <c r="BH53" s="15"/>
      <c r="BI53" s="15"/>
      <c r="BJ53" s="22" t="s">
        <v>194</v>
      </c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 t="str">
        <f t="shared" si="8"/>
        <v>52,36666 4,90818</v>
      </c>
      <c r="BV53" s="32">
        <v>52.36666</v>
      </c>
      <c r="BW53" s="32">
        <v>4.90818</v>
      </c>
      <c r="BX53" s="15"/>
      <c r="BY53" s="22">
        <v>1.0</v>
      </c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 t="s">
        <v>281</v>
      </c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</row>
    <row r="54" ht="14.25" customHeight="1">
      <c r="A54" s="22" t="s">
        <v>282</v>
      </c>
      <c r="B54" s="22"/>
      <c r="C54" s="22" t="s">
        <v>139</v>
      </c>
      <c r="D54" s="22"/>
      <c r="E54" s="22"/>
      <c r="F54" s="22"/>
      <c r="G54" s="22"/>
      <c r="H54" s="28" t="s">
        <v>283</v>
      </c>
      <c r="I54" s="28"/>
      <c r="J54" s="28"/>
      <c r="K54" s="28" t="s">
        <v>173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>
        <v>1.0</v>
      </c>
      <c r="AE54" s="22"/>
      <c r="AF54" s="22" t="s">
        <v>145</v>
      </c>
      <c r="AG54" s="22" t="s">
        <v>146</v>
      </c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29">
        <v>46099.0</v>
      </c>
      <c r="BE54" s="30">
        <f t="shared" si="6"/>
        <v>46099</v>
      </c>
      <c r="BF54" s="31" t="str">
        <f t="shared" si="7"/>
        <v>#REF!</v>
      </c>
      <c r="BG54" s="15" t="s">
        <v>147</v>
      </c>
      <c r="BH54" s="15"/>
      <c r="BI54" s="15"/>
      <c r="BJ54" s="22" t="s">
        <v>194</v>
      </c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 t="str">
        <f t="shared" si="8"/>
        <v>52,36666 4,90818</v>
      </c>
      <c r="BV54" s="32">
        <v>52.36666</v>
      </c>
      <c r="BW54" s="32">
        <v>4.90818</v>
      </c>
      <c r="BX54" s="15"/>
      <c r="BY54" s="22">
        <v>1.0</v>
      </c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 t="s">
        <v>284</v>
      </c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</row>
    <row r="55" ht="14.25" customHeight="1">
      <c r="A55" s="22" t="s">
        <v>285</v>
      </c>
      <c r="B55" s="22"/>
      <c r="C55" s="22" t="s">
        <v>139</v>
      </c>
      <c r="D55" s="22"/>
      <c r="E55" s="22"/>
      <c r="F55" s="22"/>
      <c r="G55" s="22"/>
      <c r="H55" s="28" t="s">
        <v>159</v>
      </c>
      <c r="I55" s="28"/>
      <c r="J55" s="28"/>
      <c r="K55" s="28" t="s">
        <v>186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>
        <v>1.0</v>
      </c>
      <c r="AE55" s="22"/>
      <c r="AF55" s="22" t="s">
        <v>145</v>
      </c>
      <c r="AG55" s="22" t="s">
        <v>146</v>
      </c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29">
        <v>46099.0</v>
      </c>
      <c r="BE55" s="30">
        <f t="shared" si="6"/>
        <v>46099</v>
      </c>
      <c r="BF55" s="31" t="str">
        <f t="shared" si="7"/>
        <v>#REF!</v>
      </c>
      <c r="BG55" s="15" t="s">
        <v>147</v>
      </c>
      <c r="BH55" s="15"/>
      <c r="BI55" s="15"/>
      <c r="BJ55" s="22" t="s">
        <v>194</v>
      </c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 t="str">
        <f t="shared" si="8"/>
        <v>52,36666 4,90818</v>
      </c>
      <c r="BV55" s="32">
        <v>52.36666</v>
      </c>
      <c r="BW55" s="32">
        <v>4.90818</v>
      </c>
      <c r="BX55" s="15"/>
      <c r="BY55" s="22">
        <v>1.0</v>
      </c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</row>
    <row r="56" ht="14.25" customHeight="1">
      <c r="A56" s="22" t="s">
        <v>286</v>
      </c>
      <c r="B56" s="22"/>
      <c r="C56" s="22" t="s">
        <v>139</v>
      </c>
      <c r="D56" s="22"/>
      <c r="E56" s="22"/>
      <c r="F56" s="22"/>
      <c r="G56" s="22"/>
      <c r="H56" s="28" t="s">
        <v>151</v>
      </c>
      <c r="I56" s="28"/>
      <c r="J56" s="28"/>
      <c r="K56" s="28" t="s">
        <v>200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>
        <v>1.0</v>
      </c>
      <c r="AE56" s="22"/>
      <c r="AF56" s="22" t="s">
        <v>145</v>
      </c>
      <c r="AG56" s="22" t="s">
        <v>146</v>
      </c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29">
        <v>46099.0</v>
      </c>
      <c r="BE56" s="30">
        <f t="shared" si="6"/>
        <v>46099</v>
      </c>
      <c r="BF56" s="31" t="str">
        <f t="shared" si="7"/>
        <v>#REF!</v>
      </c>
      <c r="BG56" s="15" t="s">
        <v>147</v>
      </c>
      <c r="BH56" s="15"/>
      <c r="BI56" s="15"/>
      <c r="BJ56" s="22" t="s">
        <v>194</v>
      </c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 t="str">
        <f t="shared" si="8"/>
        <v>52,36666 4,90818</v>
      </c>
      <c r="BV56" s="32">
        <v>52.36666</v>
      </c>
      <c r="BW56" s="32">
        <v>4.90818</v>
      </c>
      <c r="BX56" s="15"/>
      <c r="BY56" s="22">
        <v>1.0</v>
      </c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</row>
    <row r="57" ht="14.25" customHeight="1">
      <c r="A57" s="22" t="s">
        <v>287</v>
      </c>
      <c r="B57" s="22"/>
      <c r="C57" s="22" t="s">
        <v>139</v>
      </c>
      <c r="D57" s="22"/>
      <c r="E57" s="22"/>
      <c r="F57" s="22"/>
      <c r="G57" s="22"/>
      <c r="H57" s="28" t="s">
        <v>151</v>
      </c>
      <c r="I57" s="28"/>
      <c r="J57" s="28"/>
      <c r="K57" s="28" t="s">
        <v>288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>
        <v>1.0</v>
      </c>
      <c r="AE57" s="22"/>
      <c r="AF57" s="22" t="s">
        <v>145</v>
      </c>
      <c r="AG57" s="22" t="s">
        <v>146</v>
      </c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29">
        <v>46099.0</v>
      </c>
      <c r="BE57" s="30">
        <f t="shared" si="6"/>
        <v>46099</v>
      </c>
      <c r="BF57" s="31" t="str">
        <f t="shared" si="7"/>
        <v>#REF!</v>
      </c>
      <c r="BG57" s="15" t="s">
        <v>147</v>
      </c>
      <c r="BH57" s="15"/>
      <c r="BI57" s="15"/>
      <c r="BJ57" s="22" t="s">
        <v>194</v>
      </c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 t="str">
        <f t="shared" si="8"/>
        <v>52,36666 4,90818</v>
      </c>
      <c r="BV57" s="32">
        <v>52.36666</v>
      </c>
      <c r="BW57" s="32">
        <v>4.90818</v>
      </c>
      <c r="BX57" s="15"/>
      <c r="BY57" s="22">
        <v>1.0</v>
      </c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 t="s">
        <v>289</v>
      </c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</row>
    <row r="58" ht="14.25" customHeight="1">
      <c r="A58" s="22" t="s">
        <v>290</v>
      </c>
      <c r="B58" s="22"/>
      <c r="C58" s="22" t="s">
        <v>139</v>
      </c>
      <c r="D58" s="22"/>
      <c r="E58" s="22"/>
      <c r="F58" s="22"/>
      <c r="G58" s="22"/>
      <c r="H58" s="28" t="s">
        <v>159</v>
      </c>
      <c r="I58" s="28"/>
      <c r="J58" s="28"/>
      <c r="K58" s="28" t="s">
        <v>247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>
        <v>1.0</v>
      </c>
      <c r="AE58" s="22"/>
      <c r="AF58" s="22" t="s">
        <v>145</v>
      </c>
      <c r="AG58" s="22" t="s">
        <v>146</v>
      </c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29">
        <v>46099.0</v>
      </c>
      <c r="BE58" s="30">
        <f t="shared" si="6"/>
        <v>46099</v>
      </c>
      <c r="BF58" s="31" t="str">
        <f t="shared" si="7"/>
        <v>#REF!</v>
      </c>
      <c r="BG58" s="15" t="s">
        <v>147</v>
      </c>
      <c r="BH58" s="15"/>
      <c r="BI58" s="15"/>
      <c r="BJ58" s="22" t="s">
        <v>194</v>
      </c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 t="str">
        <f t="shared" si="8"/>
        <v>52,36666 4,90818</v>
      </c>
      <c r="BV58" s="32">
        <v>52.36666</v>
      </c>
      <c r="BW58" s="32">
        <v>4.90818</v>
      </c>
      <c r="BX58" s="15"/>
      <c r="BY58" s="22">
        <v>1.0</v>
      </c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 t="s">
        <v>291</v>
      </c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</row>
    <row r="59" ht="14.25" customHeight="1">
      <c r="A59" s="22" t="s">
        <v>292</v>
      </c>
      <c r="B59" s="22"/>
      <c r="C59" s="22" t="s">
        <v>139</v>
      </c>
      <c r="D59" s="22"/>
      <c r="E59" s="22"/>
      <c r="F59" s="22"/>
      <c r="G59" s="22"/>
      <c r="H59" s="28" t="s">
        <v>159</v>
      </c>
      <c r="I59" s="28"/>
      <c r="J59" s="28"/>
      <c r="K59" s="28" t="s">
        <v>193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>
        <v>1.0</v>
      </c>
      <c r="AE59" s="22"/>
      <c r="AF59" s="22" t="s">
        <v>145</v>
      </c>
      <c r="AG59" s="22" t="s">
        <v>146</v>
      </c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29">
        <v>46099.0</v>
      </c>
      <c r="BE59" s="30">
        <f t="shared" si="6"/>
        <v>46099</v>
      </c>
      <c r="BF59" s="31" t="str">
        <f t="shared" si="7"/>
        <v>#REF!</v>
      </c>
      <c r="BG59" s="15" t="s">
        <v>147</v>
      </c>
      <c r="BH59" s="15"/>
      <c r="BI59" s="15"/>
      <c r="BJ59" s="22" t="s">
        <v>194</v>
      </c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 t="str">
        <f t="shared" si="8"/>
        <v>52,36666 4,90818</v>
      </c>
      <c r="BV59" s="32">
        <v>52.36666</v>
      </c>
      <c r="BW59" s="32">
        <v>4.90818</v>
      </c>
      <c r="BX59" s="15"/>
      <c r="BY59" s="22">
        <v>1.0</v>
      </c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 t="s">
        <v>293</v>
      </c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</row>
    <row r="60" ht="14.25" customHeight="1">
      <c r="A60" s="22" t="s">
        <v>294</v>
      </c>
      <c r="B60" s="22"/>
      <c r="C60" s="22" t="s">
        <v>139</v>
      </c>
      <c r="D60" s="22"/>
      <c r="E60" s="22"/>
      <c r="F60" s="22"/>
      <c r="G60" s="22"/>
      <c r="H60" s="28" t="s">
        <v>159</v>
      </c>
      <c r="I60" s="28"/>
      <c r="J60" s="28"/>
      <c r="K60" s="28" t="s">
        <v>183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>
        <v>1.0</v>
      </c>
      <c r="AE60" s="22"/>
      <c r="AF60" s="22" t="s">
        <v>145</v>
      </c>
      <c r="AG60" s="22" t="s">
        <v>146</v>
      </c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29">
        <v>46099.0</v>
      </c>
      <c r="BE60" s="30">
        <f t="shared" si="6"/>
        <v>46099</v>
      </c>
      <c r="BF60" s="31" t="str">
        <f t="shared" si="7"/>
        <v>#REF!</v>
      </c>
      <c r="BG60" s="15" t="s">
        <v>147</v>
      </c>
      <c r="BH60" s="15"/>
      <c r="BI60" s="15"/>
      <c r="BJ60" s="22" t="s">
        <v>194</v>
      </c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 t="str">
        <f t="shared" si="8"/>
        <v>52,36666 4,90818</v>
      </c>
      <c r="BV60" s="32">
        <v>52.36666</v>
      </c>
      <c r="BW60" s="32">
        <v>4.90818</v>
      </c>
      <c r="BX60" s="15"/>
      <c r="BY60" s="22">
        <v>1.0</v>
      </c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</row>
    <row r="61" ht="14.25" customHeight="1">
      <c r="A61" s="22" t="s">
        <v>295</v>
      </c>
      <c r="B61" s="22"/>
      <c r="C61" s="22" t="s">
        <v>139</v>
      </c>
      <c r="D61" s="22"/>
      <c r="E61" s="22"/>
      <c r="F61" s="22"/>
      <c r="G61" s="22"/>
      <c r="H61" s="28" t="s">
        <v>159</v>
      </c>
      <c r="I61" s="28"/>
      <c r="J61" s="28"/>
      <c r="K61" s="28" t="s">
        <v>263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>
        <v>1.0</v>
      </c>
      <c r="AE61" s="22"/>
      <c r="AF61" s="22" t="s">
        <v>145</v>
      </c>
      <c r="AG61" s="22" t="s">
        <v>146</v>
      </c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29">
        <v>46099.0</v>
      </c>
      <c r="BE61" s="30">
        <f t="shared" si="6"/>
        <v>46099</v>
      </c>
      <c r="BF61" s="31" t="str">
        <f t="shared" si="7"/>
        <v>#REF!</v>
      </c>
      <c r="BG61" s="15" t="s">
        <v>147</v>
      </c>
      <c r="BH61" s="15"/>
      <c r="BI61" s="15"/>
      <c r="BJ61" s="22" t="s">
        <v>194</v>
      </c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 t="str">
        <f t="shared" si="8"/>
        <v>52,36666 4,90818</v>
      </c>
      <c r="BV61" s="32">
        <v>52.36666</v>
      </c>
      <c r="BW61" s="32">
        <v>4.90818</v>
      </c>
      <c r="BX61" s="15"/>
      <c r="BY61" s="22">
        <v>1.0</v>
      </c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 t="s">
        <v>296</v>
      </c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</row>
    <row r="62" ht="14.25" customHeight="1">
      <c r="A62" s="22" t="s">
        <v>297</v>
      </c>
      <c r="B62" s="22"/>
      <c r="C62" s="22" t="s">
        <v>139</v>
      </c>
      <c r="D62" s="22"/>
      <c r="E62" s="22"/>
      <c r="F62" s="22"/>
      <c r="G62" s="22"/>
      <c r="H62" s="28" t="s">
        <v>151</v>
      </c>
      <c r="I62" s="28"/>
      <c r="J62" s="28"/>
      <c r="K62" s="28" t="s">
        <v>200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>
        <v>1.0</v>
      </c>
      <c r="AE62" s="22"/>
      <c r="AF62" s="22" t="s">
        <v>145</v>
      </c>
      <c r="AG62" s="22" t="s">
        <v>146</v>
      </c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29">
        <v>46099.0</v>
      </c>
      <c r="BE62" s="30">
        <f t="shared" si="6"/>
        <v>46099</v>
      </c>
      <c r="BF62" s="31" t="str">
        <f t="shared" si="7"/>
        <v>#REF!</v>
      </c>
      <c r="BG62" s="15" t="s">
        <v>147</v>
      </c>
      <c r="BH62" s="15"/>
      <c r="BI62" s="15"/>
      <c r="BJ62" s="22" t="s">
        <v>194</v>
      </c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 t="str">
        <f t="shared" si="8"/>
        <v>52,36666 4,90818</v>
      </c>
      <c r="BV62" s="32">
        <v>52.36666</v>
      </c>
      <c r="BW62" s="32">
        <v>4.90818</v>
      </c>
      <c r="BX62" s="15"/>
      <c r="BY62" s="22">
        <v>1.0</v>
      </c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 t="s">
        <v>298</v>
      </c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</row>
    <row r="63" ht="14.25" customHeight="1">
      <c r="A63" s="22" t="s">
        <v>299</v>
      </c>
      <c r="B63" s="22"/>
      <c r="C63" s="22" t="s">
        <v>139</v>
      </c>
      <c r="D63" s="22"/>
      <c r="E63" s="22"/>
      <c r="F63" s="22"/>
      <c r="G63" s="22"/>
      <c r="H63" s="28" t="s">
        <v>168</v>
      </c>
      <c r="I63" s="28"/>
      <c r="J63" s="28"/>
      <c r="K63" s="28" t="s">
        <v>169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>
        <v>1.0</v>
      </c>
      <c r="AE63" s="22"/>
      <c r="AF63" s="22" t="s">
        <v>145</v>
      </c>
      <c r="AG63" s="22" t="s">
        <v>146</v>
      </c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29">
        <v>46099.0</v>
      </c>
      <c r="BE63" s="30">
        <f t="shared" si="6"/>
        <v>46099</v>
      </c>
      <c r="BF63" s="31" t="str">
        <f t="shared" si="7"/>
        <v>#REF!</v>
      </c>
      <c r="BG63" s="15" t="s">
        <v>147</v>
      </c>
      <c r="BH63" s="15"/>
      <c r="BI63" s="15"/>
      <c r="BJ63" s="22" t="s">
        <v>194</v>
      </c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 t="str">
        <f t="shared" si="8"/>
        <v>52,36666 4,90818</v>
      </c>
      <c r="BV63" s="32">
        <v>52.36666</v>
      </c>
      <c r="BW63" s="32">
        <v>4.90818</v>
      </c>
      <c r="BX63" s="15"/>
      <c r="BY63" s="22">
        <v>1.0</v>
      </c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</row>
    <row r="64" ht="14.25" customHeight="1">
      <c r="A64" s="22" t="s">
        <v>300</v>
      </c>
      <c r="B64" s="22"/>
      <c r="C64" s="22" t="s">
        <v>139</v>
      </c>
      <c r="D64" s="22"/>
      <c r="E64" s="22"/>
      <c r="F64" s="22"/>
      <c r="G64" s="22"/>
      <c r="H64" s="28" t="s">
        <v>159</v>
      </c>
      <c r="I64" s="28"/>
      <c r="J64" s="28"/>
      <c r="K64" s="28" t="s">
        <v>263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>
        <v>1.0</v>
      </c>
      <c r="AE64" s="22"/>
      <c r="AF64" s="22" t="s">
        <v>145</v>
      </c>
      <c r="AG64" s="22" t="s">
        <v>146</v>
      </c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29">
        <v>46099.0</v>
      </c>
      <c r="BE64" s="30">
        <f t="shared" si="6"/>
        <v>46099</v>
      </c>
      <c r="BF64" s="31" t="str">
        <f t="shared" si="7"/>
        <v>#REF!</v>
      </c>
      <c r="BG64" s="15" t="s">
        <v>147</v>
      </c>
      <c r="BH64" s="15"/>
      <c r="BI64" s="15"/>
      <c r="BJ64" s="22" t="s">
        <v>194</v>
      </c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 t="str">
        <f t="shared" si="8"/>
        <v>52,36666 4,90818</v>
      </c>
      <c r="BV64" s="32">
        <v>52.36666</v>
      </c>
      <c r="BW64" s="32">
        <v>4.90818</v>
      </c>
      <c r="BX64" s="15"/>
      <c r="BY64" s="22">
        <v>1.0</v>
      </c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 t="s">
        <v>301</v>
      </c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</row>
    <row r="65" ht="14.25" customHeight="1">
      <c r="A65" s="22" t="s">
        <v>302</v>
      </c>
      <c r="B65" s="22"/>
      <c r="C65" s="22" t="s">
        <v>139</v>
      </c>
      <c r="D65" s="22"/>
      <c r="E65" s="22"/>
      <c r="F65" s="22"/>
      <c r="G65" s="22"/>
      <c r="H65" s="28" t="s">
        <v>141</v>
      </c>
      <c r="I65" s="28"/>
      <c r="J65" s="28"/>
      <c r="K65" s="28" t="s">
        <v>277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>
        <v>1.0</v>
      </c>
      <c r="AE65" s="22"/>
      <c r="AF65" s="22" t="s">
        <v>145</v>
      </c>
      <c r="AG65" s="22" t="s">
        <v>146</v>
      </c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29">
        <v>46099.0</v>
      </c>
      <c r="BE65" s="30">
        <f t="shared" si="6"/>
        <v>46099</v>
      </c>
      <c r="BF65" s="31" t="str">
        <f t="shared" si="7"/>
        <v>#REF!</v>
      </c>
      <c r="BG65" s="15" t="s">
        <v>147</v>
      </c>
      <c r="BH65" s="15"/>
      <c r="BI65" s="15"/>
      <c r="BJ65" s="22" t="s">
        <v>194</v>
      </c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 t="str">
        <f t="shared" si="8"/>
        <v>52,36666 4,90818</v>
      </c>
      <c r="BV65" s="32">
        <v>52.36666</v>
      </c>
      <c r="BW65" s="32">
        <v>4.90818</v>
      </c>
      <c r="BX65" s="15"/>
      <c r="BY65" s="22">
        <v>1.0</v>
      </c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 t="s">
        <v>303</v>
      </c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</row>
    <row r="66" ht="14.25" customHeight="1">
      <c r="A66" s="22" t="s">
        <v>304</v>
      </c>
      <c r="B66" s="22"/>
      <c r="C66" s="22" t="s">
        <v>139</v>
      </c>
      <c r="D66" s="22"/>
      <c r="E66" s="22"/>
      <c r="F66" s="22"/>
      <c r="G66" s="22"/>
      <c r="H66" s="28" t="s">
        <v>141</v>
      </c>
      <c r="I66" s="28"/>
      <c r="J66" s="28"/>
      <c r="K66" s="28" t="s">
        <v>143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>
        <v>1.0</v>
      </c>
      <c r="AE66" s="22"/>
      <c r="AF66" s="22" t="s">
        <v>145</v>
      </c>
      <c r="AG66" s="22" t="s">
        <v>146</v>
      </c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29">
        <v>46099.0</v>
      </c>
      <c r="BE66" s="30">
        <f t="shared" si="6"/>
        <v>46099</v>
      </c>
      <c r="BF66" s="31" t="str">
        <f t="shared" si="7"/>
        <v>#REF!</v>
      </c>
      <c r="BG66" s="15" t="s">
        <v>147</v>
      </c>
      <c r="BH66" s="15"/>
      <c r="BI66" s="15"/>
      <c r="BJ66" s="22" t="s">
        <v>194</v>
      </c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 t="str">
        <f t="shared" si="8"/>
        <v>52,36666 4,90818</v>
      </c>
      <c r="BV66" s="32">
        <v>52.36666</v>
      </c>
      <c r="BW66" s="32">
        <v>4.90818</v>
      </c>
      <c r="BX66" s="15"/>
      <c r="BY66" s="22">
        <v>1.0</v>
      </c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</row>
    <row r="67" ht="14.25" customHeight="1">
      <c r="A67" s="22" t="s">
        <v>305</v>
      </c>
      <c r="B67" s="22"/>
      <c r="C67" s="22" t="s">
        <v>139</v>
      </c>
      <c r="D67" s="22"/>
      <c r="E67" s="22"/>
      <c r="F67" s="22"/>
      <c r="G67" s="22"/>
      <c r="H67" s="28" t="s">
        <v>141</v>
      </c>
      <c r="I67" s="28"/>
      <c r="J67" s="28"/>
      <c r="K67" s="28" t="s">
        <v>143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>
        <v>1.0</v>
      </c>
      <c r="AE67" s="22"/>
      <c r="AF67" s="22" t="s">
        <v>145</v>
      </c>
      <c r="AG67" s="22" t="s">
        <v>146</v>
      </c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29">
        <v>46099.0</v>
      </c>
      <c r="BE67" s="30">
        <f t="shared" si="6"/>
        <v>46099</v>
      </c>
      <c r="BF67" s="31" t="str">
        <f t="shared" si="7"/>
        <v>#REF!</v>
      </c>
      <c r="BG67" s="15" t="s">
        <v>147</v>
      </c>
      <c r="BH67" s="15"/>
      <c r="BI67" s="15"/>
      <c r="BJ67" s="22" t="s">
        <v>194</v>
      </c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 t="str">
        <f t="shared" si="8"/>
        <v>52,36666 4,90818</v>
      </c>
      <c r="BV67" s="32">
        <v>52.36666</v>
      </c>
      <c r="BW67" s="32">
        <v>4.90818</v>
      </c>
      <c r="BX67" s="15"/>
      <c r="BY67" s="22">
        <v>1.0</v>
      </c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</row>
    <row r="68" ht="14.25" customHeight="1">
      <c r="A68" s="22" t="s">
        <v>306</v>
      </c>
      <c r="B68" s="22"/>
      <c r="C68" s="22" t="s">
        <v>139</v>
      </c>
      <c r="D68" s="22"/>
      <c r="E68" s="22"/>
      <c r="F68" s="22"/>
      <c r="G68" s="22"/>
      <c r="H68" s="28" t="s">
        <v>141</v>
      </c>
      <c r="I68" s="28"/>
      <c r="J68" s="28"/>
      <c r="K68" s="28" t="s">
        <v>143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>
        <v>1.0</v>
      </c>
      <c r="AE68" s="22"/>
      <c r="AF68" s="22" t="s">
        <v>145</v>
      </c>
      <c r="AG68" s="22" t="s">
        <v>146</v>
      </c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29">
        <v>46099.0</v>
      </c>
      <c r="BE68" s="30">
        <f t="shared" si="6"/>
        <v>46099</v>
      </c>
      <c r="BF68" s="31" t="str">
        <f t="shared" si="7"/>
        <v>#REF!</v>
      </c>
      <c r="BG68" s="15" t="s">
        <v>147</v>
      </c>
      <c r="BH68" s="15"/>
      <c r="BI68" s="15"/>
      <c r="BJ68" s="22" t="s">
        <v>194</v>
      </c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 t="str">
        <f t="shared" si="8"/>
        <v>52,36666 4,90818</v>
      </c>
      <c r="BV68" s="32">
        <v>52.36666</v>
      </c>
      <c r="BW68" s="32">
        <v>4.90818</v>
      </c>
      <c r="BX68" s="15"/>
      <c r="BY68" s="22">
        <v>1.0</v>
      </c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</row>
    <row r="69" ht="14.25" customHeight="1">
      <c r="A69" s="22" t="s">
        <v>307</v>
      </c>
      <c r="B69" s="22"/>
      <c r="C69" s="22" t="s">
        <v>139</v>
      </c>
      <c r="D69" s="22"/>
      <c r="E69" s="22"/>
      <c r="F69" s="22"/>
      <c r="G69" s="22"/>
      <c r="H69" s="28" t="s">
        <v>159</v>
      </c>
      <c r="I69" s="28"/>
      <c r="J69" s="28"/>
      <c r="K69" s="28" t="s">
        <v>206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>
        <v>1.0</v>
      </c>
      <c r="AE69" s="22"/>
      <c r="AF69" s="22" t="s">
        <v>161</v>
      </c>
      <c r="AG69" s="22" t="s">
        <v>146</v>
      </c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29">
        <v>46101.0</v>
      </c>
      <c r="BE69" s="30">
        <f t="shared" si="6"/>
        <v>46101</v>
      </c>
      <c r="BF69" s="31" t="str">
        <f t="shared" si="7"/>
        <v>#REF!</v>
      </c>
      <c r="BG69" s="15" t="s">
        <v>147</v>
      </c>
      <c r="BH69" s="15"/>
      <c r="BI69" s="15"/>
      <c r="BJ69" s="22" t="s">
        <v>308</v>
      </c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 t="str">
        <f t="shared" si="8"/>
        <v>52,95789 4,75419</v>
      </c>
      <c r="BV69" s="32">
        <v>52.95789</v>
      </c>
      <c r="BW69" s="32">
        <v>4.75419</v>
      </c>
      <c r="BX69" s="15"/>
      <c r="BY69" s="22">
        <v>2.5</v>
      </c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 t="s">
        <v>309</v>
      </c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</row>
    <row r="70" ht="14.25" customHeight="1">
      <c r="A70" s="22" t="s">
        <v>310</v>
      </c>
      <c r="B70" s="22"/>
      <c r="C70" s="22" t="s">
        <v>139</v>
      </c>
      <c r="D70" s="22"/>
      <c r="E70" s="22"/>
      <c r="F70" s="22"/>
      <c r="G70" s="22"/>
      <c r="H70" s="28" t="s">
        <v>202</v>
      </c>
      <c r="I70" s="28"/>
      <c r="J70" s="28"/>
      <c r="K70" s="28" t="s">
        <v>222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>
        <v>1.0</v>
      </c>
      <c r="AE70" s="22"/>
      <c r="AF70" s="22" t="s">
        <v>161</v>
      </c>
      <c r="AG70" s="22" t="s">
        <v>146</v>
      </c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29">
        <v>46101.0</v>
      </c>
      <c r="BE70" s="30">
        <f t="shared" si="6"/>
        <v>46101</v>
      </c>
      <c r="BF70" s="31" t="str">
        <f t="shared" si="7"/>
        <v>#REF!</v>
      </c>
      <c r="BG70" s="15" t="s">
        <v>147</v>
      </c>
      <c r="BH70" s="15"/>
      <c r="BI70" s="15"/>
      <c r="BJ70" s="22" t="s">
        <v>308</v>
      </c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 t="str">
        <f t="shared" si="8"/>
        <v>52,95789 4,75419</v>
      </c>
      <c r="BV70" s="32">
        <v>52.95789</v>
      </c>
      <c r="BW70" s="32">
        <v>4.75419</v>
      </c>
      <c r="BX70" s="15"/>
      <c r="BY70" s="22">
        <v>3.0</v>
      </c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 t="s">
        <v>311</v>
      </c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</row>
    <row r="71" ht="14.25" customHeight="1">
      <c r="A71" s="22" t="s">
        <v>312</v>
      </c>
      <c r="B71" s="22"/>
      <c r="C71" s="22" t="s">
        <v>139</v>
      </c>
      <c r="D71" s="22"/>
      <c r="E71" s="22"/>
      <c r="F71" s="22"/>
      <c r="G71" s="22"/>
      <c r="H71" s="28" t="s">
        <v>159</v>
      </c>
      <c r="I71" s="28"/>
      <c r="J71" s="28"/>
      <c r="K71" s="28" t="s">
        <v>313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>
        <v>1.0</v>
      </c>
      <c r="AE71" s="22"/>
      <c r="AF71" s="22" t="s">
        <v>145</v>
      </c>
      <c r="AG71" s="22" t="s">
        <v>146</v>
      </c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29">
        <v>46101.0</v>
      </c>
      <c r="BE71" s="30">
        <f t="shared" si="6"/>
        <v>46101</v>
      </c>
      <c r="BF71" s="31" t="str">
        <f t="shared" si="7"/>
        <v>#REF!</v>
      </c>
      <c r="BG71" s="15" t="s">
        <v>147</v>
      </c>
      <c r="BH71" s="15"/>
      <c r="BI71" s="15"/>
      <c r="BJ71" s="22" t="s">
        <v>308</v>
      </c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 t="str">
        <f t="shared" si="8"/>
        <v>52,95789 4,75419</v>
      </c>
      <c r="BV71" s="32">
        <v>52.95789</v>
      </c>
      <c r="BW71" s="32">
        <v>4.75419</v>
      </c>
      <c r="BX71" s="15"/>
      <c r="BY71" s="22">
        <v>3.0</v>
      </c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 t="s">
        <v>314</v>
      </c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</row>
    <row r="72" ht="14.25" customHeight="1">
      <c r="A72" s="22" t="s">
        <v>315</v>
      </c>
      <c r="B72" s="22"/>
      <c r="C72" s="22" t="s">
        <v>139</v>
      </c>
      <c r="D72" s="22"/>
      <c r="E72" s="22"/>
      <c r="F72" s="22"/>
      <c r="G72" s="22"/>
      <c r="H72" s="28" t="s">
        <v>141</v>
      </c>
      <c r="I72" s="28"/>
      <c r="J72" s="28"/>
      <c r="K72" s="28" t="s">
        <v>143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>
        <v>1.0</v>
      </c>
      <c r="AE72" s="22"/>
      <c r="AF72" s="22" t="s">
        <v>145</v>
      </c>
      <c r="AG72" s="22" t="s">
        <v>146</v>
      </c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29">
        <v>46101.0</v>
      </c>
      <c r="BE72" s="30">
        <f t="shared" si="6"/>
        <v>46101</v>
      </c>
      <c r="BF72" s="31" t="str">
        <f t="shared" si="7"/>
        <v>#REF!</v>
      </c>
      <c r="BG72" s="15" t="s">
        <v>147</v>
      </c>
      <c r="BH72" s="15"/>
      <c r="BI72" s="15"/>
      <c r="BJ72" s="22" t="s">
        <v>308</v>
      </c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 t="str">
        <f t="shared" si="8"/>
        <v>52,95789 4,75419</v>
      </c>
      <c r="BV72" s="32">
        <v>52.95789</v>
      </c>
      <c r="BW72" s="32">
        <v>4.75419</v>
      </c>
      <c r="BX72" s="15"/>
      <c r="BY72" s="22">
        <v>3.0</v>
      </c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 t="s">
        <v>316</v>
      </c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</row>
    <row r="73" ht="14.25" customHeight="1">
      <c r="A73" s="22" t="s">
        <v>317</v>
      </c>
      <c r="B73" s="22"/>
      <c r="C73" s="22" t="s">
        <v>139</v>
      </c>
      <c r="D73" s="22"/>
      <c r="E73" s="22"/>
      <c r="F73" s="22"/>
      <c r="G73" s="22"/>
      <c r="H73" s="28" t="s">
        <v>168</v>
      </c>
      <c r="I73" s="28"/>
      <c r="J73" s="28"/>
      <c r="K73" s="28" t="s">
        <v>169</v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>
        <v>1.0</v>
      </c>
      <c r="AE73" s="22"/>
      <c r="AF73" s="22" t="s">
        <v>145</v>
      </c>
      <c r="AG73" s="22" t="s">
        <v>146</v>
      </c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29">
        <v>46101.0</v>
      </c>
      <c r="BE73" s="30">
        <f t="shared" si="6"/>
        <v>46101</v>
      </c>
      <c r="BF73" s="31" t="str">
        <f t="shared" si="7"/>
        <v>#REF!</v>
      </c>
      <c r="BG73" s="15" t="s">
        <v>147</v>
      </c>
      <c r="BH73" s="15"/>
      <c r="BI73" s="15"/>
      <c r="BJ73" s="22" t="s">
        <v>308</v>
      </c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 t="str">
        <f t="shared" si="8"/>
        <v>52,95789 4,75419</v>
      </c>
      <c r="BV73" s="32">
        <v>52.95789</v>
      </c>
      <c r="BW73" s="32">
        <v>4.75419</v>
      </c>
      <c r="BX73" s="15"/>
      <c r="BY73" s="22">
        <v>3.0</v>
      </c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 t="s">
        <v>318</v>
      </c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</row>
    <row r="74" ht="14.25" customHeight="1">
      <c r="A74" s="22" t="s">
        <v>319</v>
      </c>
      <c r="B74" s="22"/>
      <c r="C74" s="22" t="s">
        <v>139</v>
      </c>
      <c r="D74" s="22"/>
      <c r="E74" s="22"/>
      <c r="F74" s="22"/>
      <c r="G74" s="22"/>
      <c r="H74" s="28" t="s">
        <v>141</v>
      </c>
      <c r="I74" s="28"/>
      <c r="J74" s="28"/>
      <c r="K74" s="28" t="s">
        <v>143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>
        <v>1.0</v>
      </c>
      <c r="AE74" s="22"/>
      <c r="AF74" s="22" t="s">
        <v>145</v>
      </c>
      <c r="AG74" s="22" t="s">
        <v>146</v>
      </c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29">
        <v>46101.0</v>
      </c>
      <c r="BE74" s="30">
        <f t="shared" si="6"/>
        <v>46101</v>
      </c>
      <c r="BF74" s="31" t="str">
        <f t="shared" si="7"/>
        <v>#REF!</v>
      </c>
      <c r="BG74" s="15" t="s">
        <v>147</v>
      </c>
      <c r="BH74" s="15"/>
      <c r="BI74" s="15"/>
      <c r="BJ74" s="22" t="s">
        <v>308</v>
      </c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 t="str">
        <f t="shared" si="8"/>
        <v>52,95789 4,75419</v>
      </c>
      <c r="BV74" s="32">
        <v>52.95789</v>
      </c>
      <c r="BW74" s="32">
        <v>4.75419</v>
      </c>
      <c r="BX74" s="15"/>
      <c r="BY74" s="22">
        <v>3.0</v>
      </c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 t="s">
        <v>320</v>
      </c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</row>
    <row r="75" ht="14.25" customHeight="1">
      <c r="A75" s="22" t="s">
        <v>321</v>
      </c>
      <c r="B75" s="22"/>
      <c r="C75" s="22" t="s">
        <v>139</v>
      </c>
      <c r="D75" s="22"/>
      <c r="E75" s="22"/>
      <c r="F75" s="22"/>
      <c r="G75" s="22"/>
      <c r="H75" s="28" t="s">
        <v>141</v>
      </c>
      <c r="I75" s="28"/>
      <c r="J75" s="28"/>
      <c r="K75" s="28" t="s">
        <v>143</v>
      </c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>
        <v>1.0</v>
      </c>
      <c r="AE75" s="22"/>
      <c r="AF75" s="22" t="s">
        <v>145</v>
      </c>
      <c r="AG75" s="22" t="s">
        <v>146</v>
      </c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29">
        <v>46101.0</v>
      </c>
      <c r="BE75" s="30">
        <f t="shared" si="6"/>
        <v>46101</v>
      </c>
      <c r="BF75" s="31" t="str">
        <f t="shared" si="7"/>
        <v>#REF!</v>
      </c>
      <c r="BG75" s="15" t="s">
        <v>147</v>
      </c>
      <c r="BH75" s="15"/>
      <c r="BI75" s="15"/>
      <c r="BJ75" s="22" t="s">
        <v>308</v>
      </c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 t="str">
        <f t="shared" si="8"/>
        <v>52,95789 4,75419</v>
      </c>
      <c r="BV75" s="32">
        <v>52.95789</v>
      </c>
      <c r="BW75" s="32">
        <v>4.75419</v>
      </c>
      <c r="BX75" s="15"/>
      <c r="BY75" s="22">
        <v>3.0</v>
      </c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 t="s">
        <v>322</v>
      </c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</row>
    <row r="76" ht="14.25" customHeight="1">
      <c r="A76" s="22" t="s">
        <v>323</v>
      </c>
      <c r="B76" s="22"/>
      <c r="C76" s="22" t="s">
        <v>139</v>
      </c>
      <c r="D76" s="22"/>
      <c r="E76" s="22"/>
      <c r="F76" s="22"/>
      <c r="G76" s="22"/>
      <c r="H76" s="28" t="s">
        <v>159</v>
      </c>
      <c r="I76" s="28"/>
      <c r="J76" s="28"/>
      <c r="K76" s="28" t="s">
        <v>176</v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>
        <v>1.0</v>
      </c>
      <c r="AE76" s="22"/>
      <c r="AF76" s="22" t="s">
        <v>145</v>
      </c>
      <c r="AG76" s="22" t="s">
        <v>146</v>
      </c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29">
        <v>46101.0</v>
      </c>
      <c r="BE76" s="30">
        <f t="shared" si="6"/>
        <v>46101</v>
      </c>
      <c r="BF76" s="31" t="str">
        <f t="shared" si="7"/>
        <v>#REF!</v>
      </c>
      <c r="BG76" s="15" t="s">
        <v>147</v>
      </c>
      <c r="BH76" s="15"/>
      <c r="BI76" s="15"/>
      <c r="BJ76" s="22" t="s">
        <v>308</v>
      </c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 t="str">
        <f t="shared" si="8"/>
        <v>52,95789 4,75419</v>
      </c>
      <c r="BV76" s="32">
        <v>52.95789</v>
      </c>
      <c r="BW76" s="32">
        <v>4.75419</v>
      </c>
      <c r="BX76" s="15"/>
      <c r="BY76" s="22">
        <v>3.0</v>
      </c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 t="s">
        <v>324</v>
      </c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</row>
    <row r="77" ht="14.25" customHeight="1">
      <c r="A77" s="22" t="s">
        <v>325</v>
      </c>
      <c r="B77" s="22"/>
      <c r="C77" s="22" t="s">
        <v>139</v>
      </c>
      <c r="D77" s="22"/>
      <c r="E77" s="22"/>
      <c r="F77" s="22"/>
      <c r="G77" s="22"/>
      <c r="H77" s="28" t="s">
        <v>141</v>
      </c>
      <c r="I77" s="28"/>
      <c r="J77" s="28"/>
      <c r="K77" s="28" t="s">
        <v>143</v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>
        <v>1.0</v>
      </c>
      <c r="AE77" s="22"/>
      <c r="AF77" s="22" t="s">
        <v>145</v>
      </c>
      <c r="AG77" s="22" t="s">
        <v>146</v>
      </c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29">
        <v>46101.0</v>
      </c>
      <c r="BE77" s="30">
        <f t="shared" si="6"/>
        <v>46101</v>
      </c>
      <c r="BF77" s="31" t="str">
        <f t="shared" si="7"/>
        <v>#REF!</v>
      </c>
      <c r="BG77" s="15" t="s">
        <v>147</v>
      </c>
      <c r="BH77" s="15"/>
      <c r="BI77" s="15"/>
      <c r="BJ77" s="22" t="s">
        <v>308</v>
      </c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 t="str">
        <f t="shared" si="8"/>
        <v>52,95789 4,75419</v>
      </c>
      <c r="BV77" s="32">
        <v>52.95789</v>
      </c>
      <c r="BW77" s="32">
        <v>4.75419</v>
      </c>
      <c r="BX77" s="15"/>
      <c r="BY77" s="22">
        <v>3.0</v>
      </c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 t="s">
        <v>326</v>
      </c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</row>
    <row r="78" ht="14.25" customHeight="1">
      <c r="A78" s="22" t="s">
        <v>327</v>
      </c>
      <c r="B78" s="22"/>
      <c r="C78" s="22" t="s">
        <v>139</v>
      </c>
      <c r="D78" s="22"/>
      <c r="E78" s="22"/>
      <c r="F78" s="22"/>
      <c r="G78" s="22"/>
      <c r="H78" s="28" t="s">
        <v>141</v>
      </c>
      <c r="I78" s="28"/>
      <c r="J78" s="28"/>
      <c r="K78" s="28" t="s">
        <v>143</v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>
        <v>1.0</v>
      </c>
      <c r="AE78" s="22"/>
      <c r="AF78" s="22" t="s">
        <v>145</v>
      </c>
      <c r="AG78" s="22" t="s">
        <v>146</v>
      </c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29">
        <v>46101.0</v>
      </c>
      <c r="BE78" s="30">
        <f t="shared" si="6"/>
        <v>46101</v>
      </c>
      <c r="BF78" s="31" t="str">
        <f t="shared" si="7"/>
        <v>#REF!</v>
      </c>
      <c r="BG78" s="15" t="s">
        <v>147</v>
      </c>
      <c r="BH78" s="15"/>
      <c r="BI78" s="15"/>
      <c r="BJ78" s="22" t="s">
        <v>308</v>
      </c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 t="str">
        <f t="shared" si="8"/>
        <v>52,95789 4,75419</v>
      </c>
      <c r="BV78" s="32">
        <v>52.95789</v>
      </c>
      <c r="BW78" s="32">
        <v>4.75419</v>
      </c>
      <c r="BX78" s="15"/>
      <c r="BY78" s="22">
        <v>3.0</v>
      </c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 t="s">
        <v>328</v>
      </c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</row>
    <row r="79" ht="14.25" customHeight="1">
      <c r="A79" s="22" t="s">
        <v>329</v>
      </c>
      <c r="B79" s="22"/>
      <c r="C79" s="22" t="s">
        <v>139</v>
      </c>
      <c r="D79" s="22"/>
      <c r="E79" s="22"/>
      <c r="F79" s="22"/>
      <c r="G79" s="22"/>
      <c r="H79" s="28" t="s">
        <v>141</v>
      </c>
      <c r="I79" s="28"/>
      <c r="J79" s="28"/>
      <c r="K79" s="28" t="s">
        <v>143</v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>
        <v>1.0</v>
      </c>
      <c r="AE79" s="22"/>
      <c r="AF79" s="22" t="s">
        <v>145</v>
      </c>
      <c r="AG79" s="22" t="s">
        <v>146</v>
      </c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29">
        <v>46101.0</v>
      </c>
      <c r="BE79" s="30">
        <f t="shared" si="6"/>
        <v>46101</v>
      </c>
      <c r="BF79" s="31" t="str">
        <f t="shared" si="7"/>
        <v>#REF!</v>
      </c>
      <c r="BG79" s="15" t="s">
        <v>147</v>
      </c>
      <c r="BH79" s="15"/>
      <c r="BI79" s="15"/>
      <c r="BJ79" s="22" t="s">
        <v>308</v>
      </c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 t="str">
        <f t="shared" si="8"/>
        <v>52,95789 4,75419</v>
      </c>
      <c r="BV79" s="32">
        <v>52.95789</v>
      </c>
      <c r="BW79" s="32">
        <v>4.75419</v>
      </c>
      <c r="BX79" s="15"/>
      <c r="BY79" s="22">
        <v>3.0</v>
      </c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 t="s">
        <v>330</v>
      </c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</row>
    <row r="80" ht="14.25" customHeight="1">
      <c r="A80" s="22" t="s">
        <v>331</v>
      </c>
      <c r="B80" s="22"/>
      <c r="C80" s="22" t="s">
        <v>139</v>
      </c>
      <c r="D80" s="22"/>
      <c r="E80" s="22"/>
      <c r="F80" s="22"/>
      <c r="G80" s="22"/>
      <c r="H80" s="28" t="s">
        <v>141</v>
      </c>
      <c r="I80" s="28"/>
      <c r="J80" s="28"/>
      <c r="K80" s="28" t="s">
        <v>143</v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>
        <v>1.0</v>
      </c>
      <c r="AE80" s="22"/>
      <c r="AF80" s="22" t="s">
        <v>145</v>
      </c>
      <c r="AG80" s="22" t="s">
        <v>146</v>
      </c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29">
        <v>46101.0</v>
      </c>
      <c r="BE80" s="30">
        <f t="shared" si="6"/>
        <v>46101</v>
      </c>
      <c r="BF80" s="31" t="str">
        <f t="shared" si="7"/>
        <v>#REF!</v>
      </c>
      <c r="BG80" s="15" t="s">
        <v>147</v>
      </c>
      <c r="BH80" s="15"/>
      <c r="BI80" s="15"/>
      <c r="BJ80" s="22" t="s">
        <v>308</v>
      </c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 t="str">
        <f t="shared" si="8"/>
        <v>52,95789 4,75419</v>
      </c>
      <c r="BV80" s="32">
        <v>52.95789</v>
      </c>
      <c r="BW80" s="32">
        <v>4.75419</v>
      </c>
      <c r="BX80" s="15"/>
      <c r="BY80" s="22">
        <v>3.0</v>
      </c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 t="s">
        <v>332</v>
      </c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</row>
    <row r="81" ht="14.25" customHeight="1">
      <c r="A81" s="22" t="s">
        <v>333</v>
      </c>
      <c r="B81" s="22"/>
      <c r="C81" s="22" t="s">
        <v>139</v>
      </c>
      <c r="D81" s="22"/>
      <c r="E81" s="22"/>
      <c r="F81" s="22"/>
      <c r="G81" s="22"/>
      <c r="H81" s="28" t="s">
        <v>141</v>
      </c>
      <c r="I81" s="28"/>
      <c r="J81" s="28"/>
      <c r="K81" s="28" t="s">
        <v>143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>
        <v>1.0</v>
      </c>
      <c r="AE81" s="22"/>
      <c r="AF81" s="22" t="s">
        <v>145</v>
      </c>
      <c r="AG81" s="22" t="s">
        <v>146</v>
      </c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29">
        <v>46101.0</v>
      </c>
      <c r="BE81" s="30">
        <f t="shared" si="6"/>
        <v>46101</v>
      </c>
      <c r="BF81" s="31" t="str">
        <f t="shared" si="7"/>
        <v>#REF!</v>
      </c>
      <c r="BG81" s="15" t="s">
        <v>147</v>
      </c>
      <c r="BH81" s="15"/>
      <c r="BI81" s="15"/>
      <c r="BJ81" s="22" t="s">
        <v>308</v>
      </c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 t="str">
        <f t="shared" si="8"/>
        <v>52,95789 4,75419</v>
      </c>
      <c r="BV81" s="32">
        <v>52.95789</v>
      </c>
      <c r="BW81" s="32">
        <v>4.75419</v>
      </c>
      <c r="BX81" s="15"/>
      <c r="BY81" s="22">
        <v>3.0</v>
      </c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 t="s">
        <v>334</v>
      </c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</row>
    <row r="82" ht="14.25" customHeight="1">
      <c r="A82" s="22" t="s">
        <v>335</v>
      </c>
      <c r="B82" s="22"/>
      <c r="C82" s="22" t="s">
        <v>139</v>
      </c>
      <c r="D82" s="22"/>
      <c r="E82" s="22"/>
      <c r="F82" s="22"/>
      <c r="G82" s="22"/>
      <c r="H82" s="28" t="s">
        <v>141</v>
      </c>
      <c r="I82" s="28"/>
      <c r="J82" s="28"/>
      <c r="K82" s="28" t="s">
        <v>143</v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>
        <v>1.0</v>
      </c>
      <c r="AE82" s="22"/>
      <c r="AF82" s="22" t="s">
        <v>145</v>
      </c>
      <c r="AG82" s="22" t="s">
        <v>146</v>
      </c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29">
        <v>46101.0</v>
      </c>
      <c r="BE82" s="30">
        <f t="shared" si="6"/>
        <v>46101</v>
      </c>
      <c r="BF82" s="31" t="str">
        <f t="shared" si="7"/>
        <v>#REF!</v>
      </c>
      <c r="BG82" s="15" t="s">
        <v>147</v>
      </c>
      <c r="BH82" s="15"/>
      <c r="BI82" s="15"/>
      <c r="BJ82" s="22" t="s">
        <v>308</v>
      </c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 t="str">
        <f t="shared" si="8"/>
        <v>52,95789 4,75419</v>
      </c>
      <c r="BV82" s="32">
        <v>52.95789</v>
      </c>
      <c r="BW82" s="32">
        <v>4.75419</v>
      </c>
      <c r="BX82" s="15"/>
      <c r="BY82" s="22">
        <v>3.0</v>
      </c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 t="s">
        <v>336</v>
      </c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</row>
    <row r="83" ht="14.25" customHeight="1">
      <c r="A83" s="22" t="s">
        <v>337</v>
      </c>
      <c r="B83" s="22"/>
      <c r="C83" s="22" t="s">
        <v>139</v>
      </c>
      <c r="D83" s="22"/>
      <c r="E83" s="22"/>
      <c r="F83" s="22"/>
      <c r="G83" s="22"/>
      <c r="H83" s="28" t="s">
        <v>151</v>
      </c>
      <c r="I83" s="28"/>
      <c r="J83" s="28"/>
      <c r="K83" s="28" t="s">
        <v>152</v>
      </c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>
        <v>1.0</v>
      </c>
      <c r="AE83" s="22"/>
      <c r="AF83" s="22" t="s">
        <v>145</v>
      </c>
      <c r="AG83" s="22" t="s">
        <v>146</v>
      </c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29">
        <v>46101.0</v>
      </c>
      <c r="BE83" s="30">
        <f t="shared" si="6"/>
        <v>46101</v>
      </c>
      <c r="BF83" s="31" t="str">
        <f t="shared" si="7"/>
        <v>#REF!</v>
      </c>
      <c r="BG83" s="15" t="s">
        <v>147</v>
      </c>
      <c r="BH83" s="15"/>
      <c r="BI83" s="15"/>
      <c r="BJ83" s="22" t="s">
        <v>308</v>
      </c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 t="str">
        <f t="shared" si="8"/>
        <v>52,95789 4,75419</v>
      </c>
      <c r="BV83" s="32">
        <v>52.95789</v>
      </c>
      <c r="BW83" s="32">
        <v>4.75419</v>
      </c>
      <c r="BX83" s="15"/>
      <c r="BY83" s="22">
        <v>3.0</v>
      </c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 t="s">
        <v>338</v>
      </c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</row>
    <row r="84" ht="14.25" customHeight="1">
      <c r="A84" s="22" t="s">
        <v>339</v>
      </c>
      <c r="B84" s="22"/>
      <c r="C84" s="22" t="s">
        <v>139</v>
      </c>
      <c r="D84" s="22"/>
      <c r="E84" s="22"/>
      <c r="F84" s="22"/>
      <c r="G84" s="22"/>
      <c r="H84" s="28" t="s">
        <v>159</v>
      </c>
      <c r="I84" s="28"/>
      <c r="J84" s="28"/>
      <c r="K84" s="28" t="s">
        <v>313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>
        <v>1.0</v>
      </c>
      <c r="AE84" s="22"/>
      <c r="AF84" s="22" t="s">
        <v>145</v>
      </c>
      <c r="AG84" s="22" t="s">
        <v>146</v>
      </c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29">
        <v>46101.0</v>
      </c>
      <c r="BE84" s="30">
        <f t="shared" si="6"/>
        <v>46101</v>
      </c>
      <c r="BF84" s="31" t="str">
        <f t="shared" si="7"/>
        <v>#REF!</v>
      </c>
      <c r="BG84" s="15" t="s">
        <v>147</v>
      </c>
      <c r="BH84" s="15"/>
      <c r="BI84" s="15"/>
      <c r="BJ84" s="22" t="s">
        <v>308</v>
      </c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 t="str">
        <f t="shared" si="8"/>
        <v>52,95789 4,75419</v>
      </c>
      <c r="BV84" s="32">
        <v>52.95789</v>
      </c>
      <c r="BW84" s="32">
        <v>4.75419</v>
      </c>
      <c r="BX84" s="15"/>
      <c r="BY84" s="22">
        <v>3.0</v>
      </c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 t="s">
        <v>340</v>
      </c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</row>
    <row r="85" ht="14.25" customHeight="1">
      <c r="A85" s="22" t="s">
        <v>341</v>
      </c>
      <c r="B85" s="22"/>
      <c r="C85" s="22" t="s">
        <v>139</v>
      </c>
      <c r="D85" s="22"/>
      <c r="E85" s="22"/>
      <c r="F85" s="22"/>
      <c r="G85" s="22"/>
      <c r="H85" s="28" t="s">
        <v>159</v>
      </c>
      <c r="I85" s="28"/>
      <c r="J85" s="28"/>
      <c r="K85" s="28" t="s">
        <v>186</v>
      </c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>
        <v>1.0</v>
      </c>
      <c r="AE85" s="22"/>
      <c r="AF85" s="22" t="s">
        <v>145</v>
      </c>
      <c r="AG85" s="22" t="s">
        <v>146</v>
      </c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29">
        <v>46105.0</v>
      </c>
      <c r="BE85" s="30">
        <f t="shared" si="6"/>
        <v>46105</v>
      </c>
      <c r="BF85" s="31" t="str">
        <f t="shared" si="7"/>
        <v>#REF!</v>
      </c>
      <c r="BG85" s="15" t="s">
        <v>147</v>
      </c>
      <c r="BH85" s="15"/>
      <c r="BI85" s="15"/>
      <c r="BJ85" s="22" t="s">
        <v>342</v>
      </c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 t="str">
        <f t="shared" si="8"/>
        <v>53,18054 6,60111</v>
      </c>
      <c r="BV85" s="32">
        <v>53.18054</v>
      </c>
      <c r="BW85" s="32">
        <v>6.60111</v>
      </c>
      <c r="BX85" s="15"/>
      <c r="BY85" s="22">
        <v>3.0</v>
      </c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 t="s">
        <v>338</v>
      </c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</row>
    <row r="86" ht="14.25" customHeight="1">
      <c r="A86" s="22" t="s">
        <v>343</v>
      </c>
      <c r="B86" s="22"/>
      <c r="C86" s="22" t="s">
        <v>139</v>
      </c>
      <c r="D86" s="22"/>
      <c r="E86" s="22"/>
      <c r="F86" s="22"/>
      <c r="G86" s="22"/>
      <c r="H86" s="28" t="s">
        <v>141</v>
      </c>
      <c r="I86" s="28"/>
      <c r="J86" s="28"/>
      <c r="K86" s="28" t="s">
        <v>143</v>
      </c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>
        <v>1.0</v>
      </c>
      <c r="AE86" s="22"/>
      <c r="AF86" s="22" t="s">
        <v>145</v>
      </c>
      <c r="AG86" s="22" t="s">
        <v>146</v>
      </c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29">
        <v>46105.0</v>
      </c>
      <c r="BE86" s="30">
        <f t="shared" si="6"/>
        <v>46105</v>
      </c>
      <c r="BF86" s="31" t="str">
        <f t="shared" si="7"/>
        <v>#REF!</v>
      </c>
      <c r="BG86" s="15" t="s">
        <v>147</v>
      </c>
      <c r="BH86" s="15"/>
      <c r="BI86" s="15"/>
      <c r="BJ86" s="22" t="s">
        <v>342</v>
      </c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 t="str">
        <f t="shared" si="8"/>
        <v>53,18054 6,60111</v>
      </c>
      <c r="BV86" s="32">
        <v>53.18054</v>
      </c>
      <c r="BW86" s="32">
        <v>6.60111</v>
      </c>
      <c r="BX86" s="15"/>
      <c r="BY86" s="22">
        <v>3.0</v>
      </c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 t="s">
        <v>344</v>
      </c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</row>
    <row r="87" ht="14.25" customHeight="1">
      <c r="A87" s="22" t="s">
        <v>345</v>
      </c>
      <c r="B87" s="22"/>
      <c r="C87" s="22" t="s">
        <v>139</v>
      </c>
      <c r="D87" s="22"/>
      <c r="E87" s="22"/>
      <c r="F87" s="22"/>
      <c r="G87" s="22"/>
      <c r="H87" s="28" t="s">
        <v>141</v>
      </c>
      <c r="I87" s="28"/>
      <c r="J87" s="28"/>
      <c r="K87" s="28" t="s">
        <v>143</v>
      </c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>
        <v>1.0</v>
      </c>
      <c r="AE87" s="22"/>
      <c r="AF87" s="22" t="s">
        <v>145</v>
      </c>
      <c r="AG87" s="22" t="s">
        <v>146</v>
      </c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29">
        <v>46105.0</v>
      </c>
      <c r="BE87" s="30">
        <f t="shared" si="6"/>
        <v>46105</v>
      </c>
      <c r="BF87" s="31" t="str">
        <f t="shared" si="7"/>
        <v>#REF!</v>
      </c>
      <c r="BG87" s="15" t="s">
        <v>147</v>
      </c>
      <c r="BH87" s="15"/>
      <c r="BI87" s="15"/>
      <c r="BJ87" s="22" t="s">
        <v>342</v>
      </c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 t="str">
        <f t="shared" si="8"/>
        <v>53,18054 6,60111</v>
      </c>
      <c r="BV87" s="32">
        <v>53.18054</v>
      </c>
      <c r="BW87" s="32">
        <v>6.60111</v>
      </c>
      <c r="BX87" s="15"/>
      <c r="BY87" s="22">
        <v>3.0</v>
      </c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 t="s">
        <v>346</v>
      </c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</row>
    <row r="88" ht="14.25" customHeight="1">
      <c r="A88" s="22" t="s">
        <v>347</v>
      </c>
      <c r="B88" s="22"/>
      <c r="C88" s="22" t="s">
        <v>139</v>
      </c>
      <c r="D88" s="22"/>
      <c r="E88" s="22"/>
      <c r="F88" s="22"/>
      <c r="G88" s="22"/>
      <c r="H88" s="28" t="s">
        <v>141</v>
      </c>
      <c r="I88" s="28"/>
      <c r="J88" s="28"/>
      <c r="K88" s="28" t="s">
        <v>143</v>
      </c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>
        <v>1.0</v>
      </c>
      <c r="AE88" s="22"/>
      <c r="AF88" s="22" t="s">
        <v>145</v>
      </c>
      <c r="AG88" s="22" t="s">
        <v>146</v>
      </c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29">
        <v>46105.0</v>
      </c>
      <c r="BE88" s="30">
        <f t="shared" si="6"/>
        <v>46105</v>
      </c>
      <c r="BF88" s="31" t="str">
        <f t="shared" si="7"/>
        <v>#REF!</v>
      </c>
      <c r="BG88" s="15" t="s">
        <v>147</v>
      </c>
      <c r="BH88" s="15"/>
      <c r="BI88" s="15"/>
      <c r="BJ88" s="22" t="s">
        <v>342</v>
      </c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 t="str">
        <f t="shared" si="8"/>
        <v>53,18054 6,60111</v>
      </c>
      <c r="BV88" s="32">
        <v>53.18054</v>
      </c>
      <c r="BW88" s="32">
        <v>6.60111</v>
      </c>
      <c r="BX88" s="15"/>
      <c r="BY88" s="22">
        <v>3.0</v>
      </c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 t="s">
        <v>348</v>
      </c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</row>
    <row r="89" ht="14.25" customHeight="1">
      <c r="A89" s="22" t="s">
        <v>349</v>
      </c>
      <c r="B89" s="22"/>
      <c r="C89" s="22" t="s">
        <v>139</v>
      </c>
      <c r="D89" s="22"/>
      <c r="E89" s="22"/>
      <c r="F89" s="22"/>
      <c r="G89" s="22"/>
      <c r="H89" s="28" t="s">
        <v>141</v>
      </c>
      <c r="I89" s="28"/>
      <c r="J89" s="28"/>
      <c r="K89" s="28" t="s">
        <v>143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>
        <v>1.0</v>
      </c>
      <c r="AE89" s="22"/>
      <c r="AF89" s="22" t="s">
        <v>145</v>
      </c>
      <c r="AG89" s="22" t="s">
        <v>146</v>
      </c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29">
        <v>46105.0</v>
      </c>
      <c r="BE89" s="30">
        <f t="shared" si="6"/>
        <v>46105</v>
      </c>
      <c r="BF89" s="31" t="str">
        <f t="shared" si="7"/>
        <v>#REF!</v>
      </c>
      <c r="BG89" s="15" t="s">
        <v>147</v>
      </c>
      <c r="BH89" s="15"/>
      <c r="BI89" s="15"/>
      <c r="BJ89" s="22" t="s">
        <v>342</v>
      </c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 t="str">
        <f t="shared" si="8"/>
        <v>53,18054 6,60111</v>
      </c>
      <c r="BV89" s="32">
        <v>53.18054</v>
      </c>
      <c r="BW89" s="32">
        <v>6.60111</v>
      </c>
      <c r="BX89" s="15"/>
      <c r="BY89" s="22">
        <v>3.0</v>
      </c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 t="s">
        <v>350</v>
      </c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</row>
    <row r="90" ht="14.25" customHeight="1">
      <c r="A90" s="22" t="s">
        <v>351</v>
      </c>
      <c r="B90" s="22"/>
      <c r="C90" s="22" t="s">
        <v>139</v>
      </c>
      <c r="D90" s="22"/>
      <c r="E90" s="22"/>
      <c r="F90" s="22"/>
      <c r="G90" s="22"/>
      <c r="H90" s="28" t="s">
        <v>141</v>
      </c>
      <c r="I90" s="28"/>
      <c r="J90" s="28"/>
      <c r="K90" s="28" t="s">
        <v>143</v>
      </c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>
        <v>1.0</v>
      </c>
      <c r="AE90" s="22"/>
      <c r="AF90" s="22" t="s">
        <v>145</v>
      </c>
      <c r="AG90" s="22" t="s">
        <v>146</v>
      </c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29">
        <v>46105.0</v>
      </c>
      <c r="BE90" s="30">
        <f t="shared" si="6"/>
        <v>46105</v>
      </c>
      <c r="BF90" s="31" t="str">
        <f t="shared" si="7"/>
        <v>#REF!</v>
      </c>
      <c r="BG90" s="15" t="s">
        <v>147</v>
      </c>
      <c r="BH90" s="15"/>
      <c r="BI90" s="15"/>
      <c r="BJ90" s="22" t="s">
        <v>342</v>
      </c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 t="str">
        <f t="shared" si="8"/>
        <v>53,18054 6,60111</v>
      </c>
      <c r="BV90" s="32">
        <v>53.18054</v>
      </c>
      <c r="BW90" s="32">
        <v>6.60111</v>
      </c>
      <c r="BX90" s="15"/>
      <c r="BY90" s="22">
        <v>3.0</v>
      </c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 t="s">
        <v>352</v>
      </c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</row>
    <row r="91" ht="14.25" customHeight="1">
      <c r="A91" s="22" t="s">
        <v>353</v>
      </c>
      <c r="B91" s="22"/>
      <c r="C91" s="22" t="s">
        <v>139</v>
      </c>
      <c r="D91" s="22"/>
      <c r="E91" s="22"/>
      <c r="F91" s="22"/>
      <c r="G91" s="22"/>
      <c r="H91" s="28" t="s">
        <v>168</v>
      </c>
      <c r="I91" s="28"/>
      <c r="J91" s="28"/>
      <c r="K91" s="28" t="s">
        <v>169</v>
      </c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>
        <v>1.0</v>
      </c>
      <c r="AE91" s="22"/>
      <c r="AF91" s="22" t="s">
        <v>145</v>
      </c>
      <c r="AG91" s="22" t="s">
        <v>146</v>
      </c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29">
        <v>46105.0</v>
      </c>
      <c r="BE91" s="30">
        <f t="shared" si="6"/>
        <v>46105</v>
      </c>
      <c r="BF91" s="31" t="str">
        <f t="shared" si="7"/>
        <v>#REF!</v>
      </c>
      <c r="BG91" s="15" t="s">
        <v>147</v>
      </c>
      <c r="BH91" s="15"/>
      <c r="BI91" s="15"/>
      <c r="BJ91" s="22" t="s">
        <v>342</v>
      </c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 t="str">
        <f t="shared" si="8"/>
        <v>53,18054 6,60111</v>
      </c>
      <c r="BV91" s="32">
        <v>53.18054</v>
      </c>
      <c r="BW91" s="32">
        <v>6.60111</v>
      </c>
      <c r="BX91" s="15"/>
      <c r="BY91" s="22">
        <v>3.0</v>
      </c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 t="s">
        <v>354</v>
      </c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</row>
    <row r="92" ht="14.25" customHeight="1">
      <c r="A92" s="22" t="s">
        <v>355</v>
      </c>
      <c r="B92" s="22"/>
      <c r="C92" s="22" t="s">
        <v>139</v>
      </c>
      <c r="D92" s="22"/>
      <c r="E92" s="22"/>
      <c r="F92" s="22"/>
      <c r="G92" s="22"/>
      <c r="H92" s="28" t="s">
        <v>141</v>
      </c>
      <c r="I92" s="28"/>
      <c r="J92" s="28"/>
      <c r="K92" s="28" t="s">
        <v>356</v>
      </c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>
        <v>1.0</v>
      </c>
      <c r="AE92" s="22"/>
      <c r="AF92" s="22" t="s">
        <v>145</v>
      </c>
      <c r="AG92" s="22" t="s">
        <v>146</v>
      </c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29">
        <v>46105.0</v>
      </c>
      <c r="BE92" s="30">
        <f t="shared" si="6"/>
        <v>46105</v>
      </c>
      <c r="BF92" s="31" t="str">
        <f t="shared" si="7"/>
        <v>#REF!</v>
      </c>
      <c r="BG92" s="15" t="s">
        <v>147</v>
      </c>
      <c r="BH92" s="15"/>
      <c r="BI92" s="15"/>
      <c r="BJ92" s="22" t="s">
        <v>342</v>
      </c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 t="str">
        <f t="shared" si="8"/>
        <v>53,18054 6,60111</v>
      </c>
      <c r="BV92" s="32">
        <v>53.18054</v>
      </c>
      <c r="BW92" s="32">
        <v>6.60111</v>
      </c>
      <c r="BX92" s="15"/>
      <c r="BY92" s="22">
        <v>3.0</v>
      </c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 t="s">
        <v>357</v>
      </c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</row>
    <row r="93" ht="14.25" customHeight="1">
      <c r="A93" s="22" t="s">
        <v>358</v>
      </c>
      <c r="B93" s="22"/>
      <c r="C93" s="22" t="s">
        <v>139</v>
      </c>
      <c r="D93" s="22"/>
      <c r="E93" s="22"/>
      <c r="F93" s="22"/>
      <c r="G93" s="22"/>
      <c r="H93" s="28" t="s">
        <v>159</v>
      </c>
      <c r="I93" s="28"/>
      <c r="J93" s="28"/>
      <c r="K93" s="28" t="s">
        <v>359</v>
      </c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>
        <v>1.0</v>
      </c>
      <c r="AE93" s="22"/>
      <c r="AF93" s="22" t="s">
        <v>145</v>
      </c>
      <c r="AG93" s="22" t="s">
        <v>155</v>
      </c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29">
        <v>46111.0</v>
      </c>
      <c r="BE93" s="30">
        <f t="shared" si="6"/>
        <v>46111</v>
      </c>
      <c r="BF93" s="31" t="str">
        <f t="shared" si="7"/>
        <v>#REF!</v>
      </c>
      <c r="BG93" s="15" t="s">
        <v>147</v>
      </c>
      <c r="BH93" s="15"/>
      <c r="BI93" s="15"/>
      <c r="BJ93" s="22" t="s">
        <v>360</v>
      </c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 t="str">
        <f t="shared" si="8"/>
        <v>52,22949 5,15961</v>
      </c>
      <c r="BV93" s="32">
        <v>52.22949</v>
      </c>
      <c r="BW93" s="32">
        <v>5.15961</v>
      </c>
      <c r="BX93" s="15"/>
      <c r="BY93" s="22">
        <v>15.0</v>
      </c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 t="s">
        <v>361</v>
      </c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</row>
    <row r="94" ht="14.25" customHeight="1">
      <c r="A94" s="22" t="s">
        <v>362</v>
      </c>
      <c r="B94" s="22"/>
      <c r="C94" s="22" t="s">
        <v>139</v>
      </c>
      <c r="D94" s="22"/>
      <c r="E94" s="22"/>
      <c r="F94" s="22"/>
      <c r="G94" s="22"/>
      <c r="H94" s="28" t="s">
        <v>159</v>
      </c>
      <c r="I94" s="28"/>
      <c r="J94" s="28"/>
      <c r="K94" s="28" t="s">
        <v>206</v>
      </c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>
        <v>1.0</v>
      </c>
      <c r="AE94" s="22"/>
      <c r="AF94" s="22" t="s">
        <v>145</v>
      </c>
      <c r="AG94" s="22" t="s">
        <v>146</v>
      </c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29">
        <v>46111.0</v>
      </c>
      <c r="BE94" s="30">
        <f t="shared" si="6"/>
        <v>46111</v>
      </c>
      <c r="BF94" s="31" t="str">
        <f t="shared" si="7"/>
        <v>#REF!</v>
      </c>
      <c r="BG94" s="15" t="s">
        <v>147</v>
      </c>
      <c r="BH94" s="15"/>
      <c r="BI94" s="15"/>
      <c r="BJ94" s="22" t="s">
        <v>360</v>
      </c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 t="str">
        <f t="shared" si="8"/>
        <v>52,22949 5,15961</v>
      </c>
      <c r="BV94" s="32">
        <v>52.22949</v>
      </c>
      <c r="BW94" s="32">
        <v>5.15961</v>
      </c>
      <c r="BX94" s="15"/>
      <c r="BY94" s="22">
        <v>15.0</v>
      </c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 t="s">
        <v>363</v>
      </c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</row>
    <row r="95" ht="14.25" customHeight="1">
      <c r="A95" s="22" t="s">
        <v>364</v>
      </c>
      <c r="B95" s="22"/>
      <c r="C95" s="22"/>
      <c r="D95" s="22"/>
      <c r="E95" s="22"/>
      <c r="F95" s="22"/>
      <c r="G95" s="22"/>
      <c r="H95" s="28" t="s">
        <v>159</v>
      </c>
      <c r="I95" s="28"/>
      <c r="J95" s="28"/>
      <c r="K95" s="28" t="s">
        <v>365</v>
      </c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 t="s">
        <v>145</v>
      </c>
      <c r="AG95" s="22" t="s">
        <v>146</v>
      </c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29">
        <v>46111.0</v>
      </c>
      <c r="BE95" s="30"/>
      <c r="BF95" s="31"/>
      <c r="BG95" s="15"/>
      <c r="BH95" s="15"/>
      <c r="BI95" s="15"/>
      <c r="BJ95" s="22" t="s">
        <v>360</v>
      </c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32">
        <v>52.22949</v>
      </c>
      <c r="BW95" s="32">
        <v>5.15961</v>
      </c>
      <c r="BX95" s="15"/>
      <c r="BY95" s="22">
        <v>15.0</v>
      </c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 t="s">
        <v>366</v>
      </c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</row>
    <row r="96" ht="14.25" customHeight="1">
      <c r="A96" s="22" t="s">
        <v>367</v>
      </c>
      <c r="B96" s="22"/>
      <c r="C96" s="22" t="s">
        <v>139</v>
      </c>
      <c r="D96" s="22"/>
      <c r="E96" s="22"/>
      <c r="F96" s="22"/>
      <c r="G96" s="22"/>
      <c r="H96" s="28" t="s">
        <v>283</v>
      </c>
      <c r="I96" s="28"/>
      <c r="J96" s="28"/>
      <c r="K96" s="28" t="s">
        <v>368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>
        <v>1.0</v>
      </c>
      <c r="AE96" s="22"/>
      <c r="AF96" s="22" t="s">
        <v>145</v>
      </c>
      <c r="AG96" s="22" t="s">
        <v>146</v>
      </c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29">
        <v>46111.0</v>
      </c>
      <c r="BE96" s="30">
        <f t="shared" ref="BE96:BE139" si="9">BD96</f>
        <v>46111</v>
      </c>
      <c r="BF96" s="31" t="str">
        <f t="shared" ref="BF96:BF139" si="10">#REF!</f>
        <v>#REF!</v>
      </c>
      <c r="BG96" s="15" t="s">
        <v>147</v>
      </c>
      <c r="BH96" s="15"/>
      <c r="BI96" s="15"/>
      <c r="BJ96" s="22" t="s">
        <v>360</v>
      </c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 t="str">
        <f t="shared" ref="BU96:BU139" si="11">BV96&amp;" "&amp;BW96</f>
        <v>52,22949 5,15961</v>
      </c>
      <c r="BV96" s="32">
        <v>52.22949</v>
      </c>
      <c r="BW96" s="32">
        <v>5.15961</v>
      </c>
      <c r="BX96" s="15"/>
      <c r="BY96" s="22">
        <v>15.0</v>
      </c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 t="s">
        <v>369</v>
      </c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</row>
    <row r="97" ht="14.25" customHeight="1">
      <c r="A97" s="22" t="s">
        <v>370</v>
      </c>
      <c r="B97" s="22"/>
      <c r="C97" s="22" t="s">
        <v>139</v>
      </c>
      <c r="D97" s="22"/>
      <c r="E97" s="22"/>
      <c r="F97" s="22"/>
      <c r="G97" s="22"/>
      <c r="H97" s="28" t="s">
        <v>151</v>
      </c>
      <c r="I97" s="28"/>
      <c r="J97" s="28"/>
      <c r="K97" s="28" t="s">
        <v>200</v>
      </c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>
        <v>1.0</v>
      </c>
      <c r="AE97" s="22"/>
      <c r="AF97" s="22" t="s">
        <v>145</v>
      </c>
      <c r="AG97" s="22" t="s">
        <v>146</v>
      </c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29">
        <v>46111.0</v>
      </c>
      <c r="BE97" s="30">
        <f t="shared" si="9"/>
        <v>46111</v>
      </c>
      <c r="BF97" s="31" t="str">
        <f t="shared" si="10"/>
        <v>#REF!</v>
      </c>
      <c r="BG97" s="15" t="s">
        <v>147</v>
      </c>
      <c r="BH97" s="15"/>
      <c r="BI97" s="15"/>
      <c r="BJ97" s="22" t="s">
        <v>360</v>
      </c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 t="str">
        <f t="shared" si="11"/>
        <v>52,22949 5,15961</v>
      </c>
      <c r="BV97" s="32">
        <v>52.22949</v>
      </c>
      <c r="BW97" s="32">
        <v>5.15961</v>
      </c>
      <c r="BX97" s="15"/>
      <c r="BY97" s="22">
        <v>15.0</v>
      </c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 t="s">
        <v>371</v>
      </c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</row>
    <row r="98" ht="14.25" customHeight="1">
      <c r="A98" s="22" t="s">
        <v>372</v>
      </c>
      <c r="B98" s="22"/>
      <c r="C98" s="22" t="s">
        <v>139</v>
      </c>
      <c r="D98" s="22"/>
      <c r="E98" s="22"/>
      <c r="F98" s="22"/>
      <c r="G98" s="22"/>
      <c r="H98" s="28" t="s">
        <v>159</v>
      </c>
      <c r="I98" s="28"/>
      <c r="J98" s="28"/>
      <c r="K98" s="28" t="s">
        <v>206</v>
      </c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>
        <v>1.0</v>
      </c>
      <c r="AE98" s="22"/>
      <c r="AF98" s="22" t="s">
        <v>145</v>
      </c>
      <c r="AG98" s="22" t="s">
        <v>146</v>
      </c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29">
        <v>46111.0</v>
      </c>
      <c r="BE98" s="30">
        <f t="shared" si="9"/>
        <v>46111</v>
      </c>
      <c r="BF98" s="31" t="str">
        <f t="shared" si="10"/>
        <v>#REF!</v>
      </c>
      <c r="BG98" s="15" t="s">
        <v>147</v>
      </c>
      <c r="BH98" s="15"/>
      <c r="BI98" s="15"/>
      <c r="BJ98" s="22" t="s">
        <v>360</v>
      </c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 t="str">
        <f t="shared" si="11"/>
        <v>52,22949 5,15961</v>
      </c>
      <c r="BV98" s="32">
        <v>52.22949</v>
      </c>
      <c r="BW98" s="32">
        <v>5.15961</v>
      </c>
      <c r="BX98" s="15"/>
      <c r="BY98" s="22">
        <v>15.0</v>
      </c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 t="s">
        <v>373</v>
      </c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</row>
    <row r="99" ht="14.25" customHeight="1">
      <c r="A99" s="22" t="s">
        <v>374</v>
      </c>
      <c r="B99" s="22"/>
      <c r="C99" s="22" t="s">
        <v>139</v>
      </c>
      <c r="D99" s="22"/>
      <c r="E99" s="22"/>
      <c r="F99" s="22"/>
      <c r="G99" s="22"/>
      <c r="H99" s="28" t="s">
        <v>159</v>
      </c>
      <c r="I99" s="28"/>
      <c r="J99" s="28"/>
      <c r="K99" s="28" t="s">
        <v>193</v>
      </c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>
        <v>1.0</v>
      </c>
      <c r="AE99" s="22"/>
      <c r="AF99" s="22" t="s">
        <v>145</v>
      </c>
      <c r="AG99" s="22" t="s">
        <v>146</v>
      </c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29">
        <v>46111.0</v>
      </c>
      <c r="BE99" s="30">
        <f t="shared" si="9"/>
        <v>46111</v>
      </c>
      <c r="BF99" s="31" t="str">
        <f t="shared" si="10"/>
        <v>#REF!</v>
      </c>
      <c r="BG99" s="15" t="s">
        <v>147</v>
      </c>
      <c r="BH99" s="15"/>
      <c r="BI99" s="15"/>
      <c r="BJ99" s="22" t="s">
        <v>360</v>
      </c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 t="str">
        <f t="shared" si="11"/>
        <v>52,22949 5,15961</v>
      </c>
      <c r="BV99" s="32">
        <v>52.22949</v>
      </c>
      <c r="BW99" s="32">
        <v>5.15961</v>
      </c>
      <c r="BX99" s="15"/>
      <c r="BY99" s="22">
        <v>15.0</v>
      </c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 t="s">
        <v>375</v>
      </c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</row>
    <row r="100" ht="14.25" customHeight="1">
      <c r="A100" s="22" t="s">
        <v>376</v>
      </c>
      <c r="B100" s="22"/>
      <c r="C100" s="22" t="s">
        <v>139</v>
      </c>
      <c r="D100" s="22"/>
      <c r="E100" s="22"/>
      <c r="F100" s="22"/>
      <c r="G100" s="22"/>
      <c r="H100" s="28" t="s">
        <v>141</v>
      </c>
      <c r="I100" s="28"/>
      <c r="J100" s="28"/>
      <c r="K100" s="28" t="s">
        <v>377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>
        <v>1.0</v>
      </c>
      <c r="AE100" s="22"/>
      <c r="AF100" s="22" t="s">
        <v>145</v>
      </c>
      <c r="AG100" s="22" t="s">
        <v>155</v>
      </c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29">
        <v>46111.0</v>
      </c>
      <c r="BE100" s="30">
        <f t="shared" si="9"/>
        <v>46111</v>
      </c>
      <c r="BF100" s="31" t="str">
        <f t="shared" si="10"/>
        <v>#REF!</v>
      </c>
      <c r="BG100" s="15" t="s">
        <v>147</v>
      </c>
      <c r="BH100" s="15"/>
      <c r="BI100" s="15"/>
      <c r="BJ100" s="22" t="s">
        <v>360</v>
      </c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 t="str">
        <f t="shared" si="11"/>
        <v>52,22949 5,15961</v>
      </c>
      <c r="BV100" s="32">
        <v>52.22949</v>
      </c>
      <c r="BW100" s="32">
        <v>5.15961</v>
      </c>
      <c r="BX100" s="15"/>
      <c r="BY100" s="22">
        <v>15.0</v>
      </c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 t="s">
        <v>378</v>
      </c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</row>
    <row r="101" ht="14.25" customHeight="1">
      <c r="A101" s="22" t="s">
        <v>379</v>
      </c>
      <c r="B101" s="22"/>
      <c r="C101" s="22" t="s">
        <v>139</v>
      </c>
      <c r="D101" s="22"/>
      <c r="E101" s="22"/>
      <c r="F101" s="22"/>
      <c r="G101" s="22"/>
      <c r="H101" s="28" t="s">
        <v>141</v>
      </c>
      <c r="I101" s="28"/>
      <c r="J101" s="28"/>
      <c r="K101" s="28" t="s">
        <v>254</v>
      </c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>
        <v>1.0</v>
      </c>
      <c r="AE101" s="22"/>
      <c r="AF101" s="22" t="s">
        <v>145</v>
      </c>
      <c r="AG101" s="22" t="s">
        <v>146</v>
      </c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29">
        <v>46111.0</v>
      </c>
      <c r="BE101" s="30">
        <f t="shared" si="9"/>
        <v>46111</v>
      </c>
      <c r="BF101" s="31" t="str">
        <f t="shared" si="10"/>
        <v>#REF!</v>
      </c>
      <c r="BG101" s="15" t="s">
        <v>147</v>
      </c>
      <c r="BH101" s="15"/>
      <c r="BI101" s="15"/>
      <c r="BJ101" s="22" t="s">
        <v>360</v>
      </c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 t="str">
        <f t="shared" si="11"/>
        <v>52,22949 5,15961</v>
      </c>
      <c r="BV101" s="32">
        <v>52.22949</v>
      </c>
      <c r="BW101" s="32">
        <v>5.15961</v>
      </c>
      <c r="BX101" s="15"/>
      <c r="BY101" s="22">
        <v>15.0</v>
      </c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 t="s">
        <v>380</v>
      </c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</row>
    <row r="102" ht="14.25" customHeight="1">
      <c r="A102" s="22" t="s">
        <v>381</v>
      </c>
      <c r="B102" s="22"/>
      <c r="C102" s="22" t="s">
        <v>139</v>
      </c>
      <c r="D102" s="22"/>
      <c r="E102" s="22"/>
      <c r="F102" s="22"/>
      <c r="G102" s="22"/>
      <c r="H102" s="28" t="s">
        <v>151</v>
      </c>
      <c r="I102" s="28"/>
      <c r="J102" s="28"/>
      <c r="K102" s="28" t="s">
        <v>152</v>
      </c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>
        <v>1.0</v>
      </c>
      <c r="AE102" s="22"/>
      <c r="AF102" s="22" t="s">
        <v>145</v>
      </c>
      <c r="AG102" s="22" t="s">
        <v>155</v>
      </c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29">
        <v>46111.0</v>
      </c>
      <c r="BE102" s="30">
        <f t="shared" si="9"/>
        <v>46111</v>
      </c>
      <c r="BF102" s="31" t="str">
        <f t="shared" si="10"/>
        <v>#REF!</v>
      </c>
      <c r="BG102" s="15" t="s">
        <v>147</v>
      </c>
      <c r="BH102" s="15"/>
      <c r="BI102" s="15"/>
      <c r="BJ102" s="22" t="s">
        <v>360</v>
      </c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 t="str">
        <f t="shared" si="11"/>
        <v>52,22949 5,15961</v>
      </c>
      <c r="BV102" s="32">
        <v>52.22949</v>
      </c>
      <c r="BW102" s="32">
        <v>5.15961</v>
      </c>
      <c r="BX102" s="15"/>
      <c r="BY102" s="22">
        <v>15.0</v>
      </c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 t="s">
        <v>382</v>
      </c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</row>
    <row r="103" ht="14.25" customHeight="1">
      <c r="A103" s="22" t="s">
        <v>383</v>
      </c>
      <c r="B103" s="22"/>
      <c r="C103" s="22" t="s">
        <v>139</v>
      </c>
      <c r="D103" s="22"/>
      <c r="E103" s="22"/>
      <c r="F103" s="22"/>
      <c r="G103" s="22"/>
      <c r="H103" s="28" t="s">
        <v>141</v>
      </c>
      <c r="I103" s="28"/>
      <c r="J103" s="28"/>
      <c r="K103" s="28" t="s">
        <v>384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>
        <v>1.0</v>
      </c>
      <c r="AE103" s="22"/>
      <c r="AF103" s="22" t="s">
        <v>145</v>
      </c>
      <c r="AG103" s="22" t="s">
        <v>146</v>
      </c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29">
        <v>46111.0</v>
      </c>
      <c r="BE103" s="30">
        <f t="shared" si="9"/>
        <v>46111</v>
      </c>
      <c r="BF103" s="31" t="str">
        <f t="shared" si="10"/>
        <v>#REF!</v>
      </c>
      <c r="BG103" s="15" t="s">
        <v>147</v>
      </c>
      <c r="BH103" s="15"/>
      <c r="BI103" s="15"/>
      <c r="BJ103" s="22" t="s">
        <v>360</v>
      </c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 t="str">
        <f t="shared" si="11"/>
        <v>52,22949 5,15961</v>
      </c>
      <c r="BV103" s="32">
        <v>52.22949</v>
      </c>
      <c r="BW103" s="32">
        <v>5.15961</v>
      </c>
      <c r="BX103" s="15"/>
      <c r="BY103" s="22">
        <v>15.0</v>
      </c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 t="s">
        <v>385</v>
      </c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</row>
    <row r="104" ht="14.25" customHeight="1">
      <c r="A104" s="22" t="s">
        <v>386</v>
      </c>
      <c r="B104" s="22"/>
      <c r="C104" s="22" t="s">
        <v>139</v>
      </c>
      <c r="D104" s="22"/>
      <c r="E104" s="22"/>
      <c r="F104" s="22"/>
      <c r="G104" s="22"/>
      <c r="H104" s="28" t="s">
        <v>159</v>
      </c>
      <c r="I104" s="28"/>
      <c r="J104" s="28"/>
      <c r="K104" s="28" t="s">
        <v>186</v>
      </c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>
        <v>1.0</v>
      </c>
      <c r="AE104" s="22"/>
      <c r="AF104" s="22" t="s">
        <v>145</v>
      </c>
      <c r="AG104" s="22" t="s">
        <v>146</v>
      </c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29">
        <v>46111.0</v>
      </c>
      <c r="BE104" s="30">
        <f t="shared" si="9"/>
        <v>46111</v>
      </c>
      <c r="BF104" s="31" t="str">
        <f t="shared" si="10"/>
        <v>#REF!</v>
      </c>
      <c r="BG104" s="15" t="s">
        <v>147</v>
      </c>
      <c r="BH104" s="15"/>
      <c r="BI104" s="15"/>
      <c r="BJ104" s="22" t="s">
        <v>360</v>
      </c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 t="str">
        <f t="shared" si="11"/>
        <v>52,22949 5,15961</v>
      </c>
      <c r="BV104" s="32">
        <v>52.22949</v>
      </c>
      <c r="BW104" s="32">
        <v>5.15961</v>
      </c>
      <c r="BX104" s="15"/>
      <c r="BY104" s="22">
        <v>15.0</v>
      </c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 t="s">
        <v>387</v>
      </c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</row>
    <row r="105" ht="14.25" customHeight="1">
      <c r="A105" s="22" t="s">
        <v>388</v>
      </c>
      <c r="B105" s="22"/>
      <c r="C105" s="22" t="s">
        <v>139</v>
      </c>
      <c r="D105" s="22"/>
      <c r="E105" s="22"/>
      <c r="F105" s="22"/>
      <c r="G105" s="22"/>
      <c r="H105" s="28" t="s">
        <v>141</v>
      </c>
      <c r="I105" s="28"/>
      <c r="J105" s="28"/>
      <c r="K105" s="28" t="s">
        <v>277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>
        <v>1.0</v>
      </c>
      <c r="AE105" s="22"/>
      <c r="AF105" s="22" t="s">
        <v>145</v>
      </c>
      <c r="AG105" s="22" t="s">
        <v>146</v>
      </c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29">
        <v>46111.0</v>
      </c>
      <c r="BE105" s="30">
        <f t="shared" si="9"/>
        <v>46111</v>
      </c>
      <c r="BF105" s="31" t="str">
        <f t="shared" si="10"/>
        <v>#REF!</v>
      </c>
      <c r="BG105" s="15" t="s">
        <v>147</v>
      </c>
      <c r="BH105" s="15"/>
      <c r="BI105" s="15"/>
      <c r="BJ105" s="22" t="s">
        <v>360</v>
      </c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 t="str">
        <f t="shared" si="11"/>
        <v>52,22949 5,15961</v>
      </c>
      <c r="BV105" s="32">
        <v>52.22949</v>
      </c>
      <c r="BW105" s="32">
        <v>5.15961</v>
      </c>
      <c r="BX105" s="15"/>
      <c r="BY105" s="22">
        <v>15.0</v>
      </c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 t="s">
        <v>389</v>
      </c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</row>
    <row r="106" ht="14.25" customHeight="1">
      <c r="A106" s="22" t="s">
        <v>390</v>
      </c>
      <c r="B106" s="22"/>
      <c r="C106" s="22" t="s">
        <v>139</v>
      </c>
      <c r="D106" s="22"/>
      <c r="E106" s="22"/>
      <c r="F106" s="22"/>
      <c r="G106" s="22"/>
      <c r="H106" s="28" t="s">
        <v>159</v>
      </c>
      <c r="I106" s="28"/>
      <c r="J106" s="28"/>
      <c r="K106" s="28" t="s">
        <v>160</v>
      </c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>
        <v>1.0</v>
      </c>
      <c r="AE106" s="22"/>
      <c r="AF106" s="22" t="s">
        <v>145</v>
      </c>
      <c r="AG106" s="22" t="s">
        <v>146</v>
      </c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29">
        <v>46111.0</v>
      </c>
      <c r="BE106" s="30">
        <f t="shared" si="9"/>
        <v>46111</v>
      </c>
      <c r="BF106" s="31" t="str">
        <f t="shared" si="10"/>
        <v>#REF!</v>
      </c>
      <c r="BG106" s="15" t="s">
        <v>147</v>
      </c>
      <c r="BH106" s="15"/>
      <c r="BI106" s="15"/>
      <c r="BJ106" s="22" t="s">
        <v>360</v>
      </c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 t="str">
        <f t="shared" si="11"/>
        <v>52,22949 5,15961</v>
      </c>
      <c r="BV106" s="32">
        <v>52.22949</v>
      </c>
      <c r="BW106" s="32">
        <v>5.15961</v>
      </c>
      <c r="BX106" s="15"/>
      <c r="BY106" s="22">
        <v>15.0</v>
      </c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 t="s">
        <v>391</v>
      </c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</row>
    <row r="107" ht="14.25" customHeight="1">
      <c r="A107" s="22" t="s">
        <v>392</v>
      </c>
      <c r="B107" s="22"/>
      <c r="C107" s="22" t="s">
        <v>139</v>
      </c>
      <c r="D107" s="22"/>
      <c r="E107" s="22"/>
      <c r="F107" s="22"/>
      <c r="G107" s="22"/>
      <c r="H107" s="28" t="s">
        <v>159</v>
      </c>
      <c r="I107" s="28"/>
      <c r="J107" s="28"/>
      <c r="K107" s="28" t="s">
        <v>186</v>
      </c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>
        <v>1.0</v>
      </c>
      <c r="AE107" s="22"/>
      <c r="AF107" s="22" t="s">
        <v>145</v>
      </c>
      <c r="AG107" s="22" t="s">
        <v>146</v>
      </c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29">
        <v>46111.0</v>
      </c>
      <c r="BE107" s="30">
        <f t="shared" si="9"/>
        <v>46111</v>
      </c>
      <c r="BF107" s="31" t="str">
        <f t="shared" si="10"/>
        <v>#REF!</v>
      </c>
      <c r="BG107" s="15" t="s">
        <v>147</v>
      </c>
      <c r="BH107" s="15"/>
      <c r="BI107" s="15"/>
      <c r="BJ107" s="22" t="s">
        <v>360</v>
      </c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 t="str">
        <f t="shared" si="11"/>
        <v>52,22949 5,15961</v>
      </c>
      <c r="BV107" s="32">
        <v>52.22949</v>
      </c>
      <c r="BW107" s="32">
        <v>5.15961</v>
      </c>
      <c r="BX107" s="15"/>
      <c r="BY107" s="22">
        <v>15.0</v>
      </c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 t="s">
        <v>393</v>
      </c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</row>
    <row r="108" ht="14.25" customHeight="1">
      <c r="A108" s="22" t="s">
        <v>394</v>
      </c>
      <c r="B108" s="22"/>
      <c r="C108" s="22" t="s">
        <v>139</v>
      </c>
      <c r="D108" s="22"/>
      <c r="E108" s="22"/>
      <c r="F108" s="22"/>
      <c r="G108" s="22"/>
      <c r="H108" s="28" t="s">
        <v>141</v>
      </c>
      <c r="I108" s="28"/>
      <c r="J108" s="28"/>
      <c r="K108" s="28" t="s">
        <v>395</v>
      </c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>
        <v>1.0</v>
      </c>
      <c r="AE108" s="22"/>
      <c r="AF108" s="22" t="s">
        <v>145</v>
      </c>
      <c r="AG108" s="22" t="s">
        <v>146</v>
      </c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29">
        <v>46111.0</v>
      </c>
      <c r="BE108" s="30">
        <f t="shared" si="9"/>
        <v>46111</v>
      </c>
      <c r="BF108" s="31" t="str">
        <f t="shared" si="10"/>
        <v>#REF!</v>
      </c>
      <c r="BG108" s="15" t="s">
        <v>147</v>
      </c>
      <c r="BH108" s="15"/>
      <c r="BI108" s="15"/>
      <c r="BJ108" s="22" t="s">
        <v>360</v>
      </c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 t="str">
        <f t="shared" si="11"/>
        <v>52,22949 5,15961</v>
      </c>
      <c r="BV108" s="32">
        <v>52.22949</v>
      </c>
      <c r="BW108" s="32">
        <v>5.15961</v>
      </c>
      <c r="BX108" s="15"/>
      <c r="BY108" s="22">
        <v>15.0</v>
      </c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 t="s">
        <v>396</v>
      </c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</row>
    <row r="109" ht="14.25" customHeight="1">
      <c r="A109" s="22" t="s">
        <v>397</v>
      </c>
      <c r="B109" s="22"/>
      <c r="C109" s="22" t="s">
        <v>139</v>
      </c>
      <c r="D109" s="22"/>
      <c r="E109" s="22"/>
      <c r="F109" s="22"/>
      <c r="G109" s="22"/>
      <c r="H109" s="28" t="s">
        <v>159</v>
      </c>
      <c r="I109" s="28"/>
      <c r="J109" s="28"/>
      <c r="K109" s="28" t="s">
        <v>398</v>
      </c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>
        <v>1.0</v>
      </c>
      <c r="AE109" s="22"/>
      <c r="AF109" s="22" t="s">
        <v>145</v>
      </c>
      <c r="AG109" s="22" t="s">
        <v>155</v>
      </c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29">
        <v>46111.0</v>
      </c>
      <c r="BE109" s="30">
        <f t="shared" si="9"/>
        <v>46111</v>
      </c>
      <c r="BF109" s="31" t="str">
        <f t="shared" si="10"/>
        <v>#REF!</v>
      </c>
      <c r="BG109" s="15" t="s">
        <v>147</v>
      </c>
      <c r="BH109" s="15"/>
      <c r="BI109" s="15"/>
      <c r="BJ109" s="22" t="s">
        <v>360</v>
      </c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 t="str">
        <f t="shared" si="11"/>
        <v>52,22949 5,15961</v>
      </c>
      <c r="BV109" s="32">
        <v>52.22949</v>
      </c>
      <c r="BW109" s="32">
        <v>5.15961</v>
      </c>
      <c r="BX109" s="15"/>
      <c r="BY109" s="22">
        <v>15.0</v>
      </c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 t="s">
        <v>399</v>
      </c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</row>
    <row r="110" ht="14.25" customHeight="1">
      <c r="A110" s="22" t="s">
        <v>400</v>
      </c>
      <c r="B110" s="22"/>
      <c r="C110" s="22" t="s">
        <v>139</v>
      </c>
      <c r="D110" s="22"/>
      <c r="E110" s="22"/>
      <c r="F110" s="22"/>
      <c r="G110" s="22"/>
      <c r="H110" s="28" t="s">
        <v>202</v>
      </c>
      <c r="I110" s="28"/>
      <c r="J110" s="28"/>
      <c r="K110" s="28" t="s">
        <v>222</v>
      </c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>
        <v>1.0</v>
      </c>
      <c r="AE110" s="22"/>
      <c r="AF110" s="22" t="s">
        <v>161</v>
      </c>
      <c r="AG110" s="22" t="s">
        <v>146</v>
      </c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29">
        <v>46111.0</v>
      </c>
      <c r="BE110" s="30">
        <f t="shared" si="9"/>
        <v>46111</v>
      </c>
      <c r="BF110" s="31" t="str">
        <f t="shared" si="10"/>
        <v>#REF!</v>
      </c>
      <c r="BG110" s="15" t="s">
        <v>147</v>
      </c>
      <c r="BH110" s="15"/>
      <c r="BI110" s="15"/>
      <c r="BJ110" s="22" t="s">
        <v>360</v>
      </c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 t="str">
        <f t="shared" si="11"/>
        <v>52,22949 5,15961</v>
      </c>
      <c r="BV110" s="32">
        <v>52.22949</v>
      </c>
      <c r="BW110" s="32">
        <v>5.15961</v>
      </c>
      <c r="BX110" s="15"/>
      <c r="BY110" s="22">
        <v>15.0</v>
      </c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 t="s">
        <v>401</v>
      </c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</row>
    <row r="111" ht="14.25" customHeight="1">
      <c r="A111" s="22" t="s">
        <v>402</v>
      </c>
      <c r="B111" s="22"/>
      <c r="C111" s="22" t="s">
        <v>139</v>
      </c>
      <c r="D111" s="22"/>
      <c r="E111" s="22"/>
      <c r="F111" s="22"/>
      <c r="G111" s="22"/>
      <c r="H111" s="28" t="s">
        <v>159</v>
      </c>
      <c r="I111" s="28"/>
      <c r="J111" s="28"/>
      <c r="K111" s="28" t="s">
        <v>403</v>
      </c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>
        <v>1.0</v>
      </c>
      <c r="AE111" s="22"/>
      <c r="AF111" s="22" t="s">
        <v>145</v>
      </c>
      <c r="AG111" s="22" t="s">
        <v>146</v>
      </c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29">
        <v>46111.0</v>
      </c>
      <c r="BE111" s="30">
        <f t="shared" si="9"/>
        <v>46111</v>
      </c>
      <c r="BF111" s="31" t="str">
        <f t="shared" si="10"/>
        <v>#REF!</v>
      </c>
      <c r="BG111" s="15" t="s">
        <v>147</v>
      </c>
      <c r="BH111" s="15"/>
      <c r="BI111" s="15"/>
      <c r="BJ111" s="22" t="s">
        <v>360</v>
      </c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 t="str">
        <f t="shared" si="11"/>
        <v>52,22949 5,15961</v>
      </c>
      <c r="BV111" s="32">
        <v>52.22949</v>
      </c>
      <c r="BW111" s="32">
        <v>5.15961</v>
      </c>
      <c r="BX111" s="15"/>
      <c r="BY111" s="22">
        <v>15.0</v>
      </c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 t="s">
        <v>404</v>
      </c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</row>
    <row r="112" ht="14.25" customHeight="1">
      <c r="A112" s="22" t="s">
        <v>405</v>
      </c>
      <c r="B112" s="22"/>
      <c r="C112" s="22" t="s">
        <v>139</v>
      </c>
      <c r="D112" s="22"/>
      <c r="E112" s="22"/>
      <c r="F112" s="22"/>
      <c r="G112" s="22"/>
      <c r="H112" s="28" t="s">
        <v>141</v>
      </c>
      <c r="I112" s="28"/>
      <c r="J112" s="28"/>
      <c r="K112" s="28" t="s">
        <v>277</v>
      </c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>
        <v>1.0</v>
      </c>
      <c r="AE112" s="22"/>
      <c r="AF112" s="22" t="s">
        <v>145</v>
      </c>
      <c r="AG112" s="22" t="s">
        <v>146</v>
      </c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29">
        <v>46111.0</v>
      </c>
      <c r="BE112" s="30">
        <f t="shared" si="9"/>
        <v>46111</v>
      </c>
      <c r="BF112" s="31" t="str">
        <f t="shared" si="10"/>
        <v>#REF!</v>
      </c>
      <c r="BG112" s="15" t="s">
        <v>147</v>
      </c>
      <c r="BH112" s="15"/>
      <c r="BI112" s="15"/>
      <c r="BJ112" s="22" t="s">
        <v>360</v>
      </c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 t="str">
        <f t="shared" si="11"/>
        <v>52,22949 5,15961</v>
      </c>
      <c r="BV112" s="32">
        <v>52.22949</v>
      </c>
      <c r="BW112" s="32">
        <v>5.15961</v>
      </c>
      <c r="BX112" s="15"/>
      <c r="BY112" s="22">
        <v>15.0</v>
      </c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 t="s">
        <v>406</v>
      </c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</row>
    <row r="113" ht="14.25" customHeight="1">
      <c r="A113" s="22" t="s">
        <v>407</v>
      </c>
      <c r="B113" s="22"/>
      <c r="C113" s="22" t="s">
        <v>139</v>
      </c>
      <c r="D113" s="22"/>
      <c r="E113" s="22"/>
      <c r="F113" s="22"/>
      <c r="G113" s="22"/>
      <c r="H113" s="28" t="s">
        <v>141</v>
      </c>
      <c r="I113" s="28"/>
      <c r="J113" s="28"/>
      <c r="K113" s="28" t="s">
        <v>254</v>
      </c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>
        <v>1.0</v>
      </c>
      <c r="AE113" s="22"/>
      <c r="AF113" s="22" t="s">
        <v>145</v>
      </c>
      <c r="AG113" s="22" t="s">
        <v>146</v>
      </c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29">
        <v>46111.0</v>
      </c>
      <c r="BE113" s="30">
        <f t="shared" si="9"/>
        <v>46111</v>
      </c>
      <c r="BF113" s="31" t="str">
        <f t="shared" si="10"/>
        <v>#REF!</v>
      </c>
      <c r="BG113" s="15" t="s">
        <v>147</v>
      </c>
      <c r="BH113" s="15"/>
      <c r="BI113" s="15"/>
      <c r="BJ113" s="22" t="s">
        <v>360</v>
      </c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 t="str">
        <f t="shared" si="11"/>
        <v>52,22949 5,15961</v>
      </c>
      <c r="BV113" s="32">
        <v>52.22949</v>
      </c>
      <c r="BW113" s="32">
        <v>5.15961</v>
      </c>
      <c r="BX113" s="15"/>
      <c r="BY113" s="22">
        <v>15.0</v>
      </c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 t="s">
        <v>408</v>
      </c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</row>
    <row r="114" ht="14.25" customHeight="1">
      <c r="A114" s="22" t="s">
        <v>409</v>
      </c>
      <c r="B114" s="22"/>
      <c r="C114" s="22" t="s">
        <v>139</v>
      </c>
      <c r="D114" s="22"/>
      <c r="E114" s="22"/>
      <c r="F114" s="22"/>
      <c r="G114" s="22"/>
      <c r="H114" s="28" t="s">
        <v>159</v>
      </c>
      <c r="I114" s="28"/>
      <c r="J114" s="28"/>
      <c r="K114" s="28" t="s">
        <v>398</v>
      </c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>
        <v>1.0</v>
      </c>
      <c r="AE114" s="22"/>
      <c r="AF114" s="22" t="s">
        <v>145</v>
      </c>
      <c r="AG114" s="22" t="s">
        <v>155</v>
      </c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29">
        <v>46111.0</v>
      </c>
      <c r="BE114" s="30">
        <f t="shared" si="9"/>
        <v>46111</v>
      </c>
      <c r="BF114" s="31" t="str">
        <f t="shared" si="10"/>
        <v>#REF!</v>
      </c>
      <c r="BG114" s="15" t="s">
        <v>147</v>
      </c>
      <c r="BH114" s="15"/>
      <c r="BI114" s="15"/>
      <c r="BJ114" s="22" t="s">
        <v>360</v>
      </c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 t="str">
        <f t="shared" si="11"/>
        <v>52,22949 5,15961</v>
      </c>
      <c r="BV114" s="32">
        <v>52.22949</v>
      </c>
      <c r="BW114" s="32">
        <v>5.15961</v>
      </c>
      <c r="BX114" s="15"/>
      <c r="BY114" s="22">
        <v>15.0</v>
      </c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 t="s">
        <v>410</v>
      </c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</row>
    <row r="115" ht="14.25" customHeight="1">
      <c r="A115" s="22" t="s">
        <v>411</v>
      </c>
      <c r="B115" s="22"/>
      <c r="C115" s="22" t="s">
        <v>139</v>
      </c>
      <c r="D115" s="22"/>
      <c r="E115" s="22"/>
      <c r="F115" s="22"/>
      <c r="G115" s="22"/>
      <c r="H115" s="28" t="s">
        <v>141</v>
      </c>
      <c r="I115" s="28"/>
      <c r="J115" s="28"/>
      <c r="K115" s="28" t="s">
        <v>412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>
        <v>1.0</v>
      </c>
      <c r="AE115" s="22"/>
      <c r="AF115" s="22" t="s">
        <v>145</v>
      </c>
      <c r="AG115" s="22" t="s">
        <v>155</v>
      </c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29">
        <v>46111.0</v>
      </c>
      <c r="BE115" s="30">
        <f t="shared" si="9"/>
        <v>46111</v>
      </c>
      <c r="BF115" s="31" t="str">
        <f t="shared" si="10"/>
        <v>#REF!</v>
      </c>
      <c r="BG115" s="15" t="s">
        <v>147</v>
      </c>
      <c r="BH115" s="15"/>
      <c r="BI115" s="15"/>
      <c r="BJ115" s="22" t="s">
        <v>360</v>
      </c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 t="str">
        <f t="shared" si="11"/>
        <v>52,22949 5,15961</v>
      </c>
      <c r="BV115" s="32">
        <v>52.22949</v>
      </c>
      <c r="BW115" s="32">
        <v>5.15961</v>
      </c>
      <c r="BX115" s="15"/>
      <c r="BY115" s="22">
        <v>15.0</v>
      </c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 t="s">
        <v>413</v>
      </c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</row>
    <row r="116" ht="14.25" customHeight="1">
      <c r="A116" s="22" t="s">
        <v>414</v>
      </c>
      <c r="B116" s="22"/>
      <c r="C116" s="22" t="s">
        <v>139</v>
      </c>
      <c r="D116" s="22"/>
      <c r="E116" s="22"/>
      <c r="F116" s="22"/>
      <c r="G116" s="22"/>
      <c r="H116" s="28" t="s">
        <v>159</v>
      </c>
      <c r="I116" s="28"/>
      <c r="J116" s="28"/>
      <c r="K116" s="28" t="s">
        <v>176</v>
      </c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>
        <v>1.0</v>
      </c>
      <c r="AE116" s="22"/>
      <c r="AF116" s="22" t="s">
        <v>145</v>
      </c>
      <c r="AG116" s="22" t="s">
        <v>146</v>
      </c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29">
        <v>46111.0</v>
      </c>
      <c r="BE116" s="30">
        <f t="shared" si="9"/>
        <v>46111</v>
      </c>
      <c r="BF116" s="31" t="str">
        <f t="shared" si="10"/>
        <v>#REF!</v>
      </c>
      <c r="BG116" s="15" t="s">
        <v>147</v>
      </c>
      <c r="BH116" s="15"/>
      <c r="BI116" s="15"/>
      <c r="BJ116" s="22" t="s">
        <v>360</v>
      </c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 t="str">
        <f t="shared" si="11"/>
        <v>52,22949 5,15961</v>
      </c>
      <c r="BV116" s="32">
        <v>52.22949</v>
      </c>
      <c r="BW116" s="32">
        <v>5.15961</v>
      </c>
      <c r="BX116" s="15"/>
      <c r="BY116" s="22">
        <v>15.0</v>
      </c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 t="s">
        <v>415</v>
      </c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</row>
    <row r="117" ht="14.25" customHeight="1">
      <c r="A117" s="22" t="s">
        <v>416</v>
      </c>
      <c r="B117" s="22"/>
      <c r="C117" s="22" t="s">
        <v>139</v>
      </c>
      <c r="D117" s="22"/>
      <c r="E117" s="22"/>
      <c r="F117" s="22"/>
      <c r="G117" s="22"/>
      <c r="H117" s="28" t="s">
        <v>159</v>
      </c>
      <c r="I117" s="28"/>
      <c r="J117" s="28"/>
      <c r="K117" s="28" t="s">
        <v>280</v>
      </c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>
        <v>1.0</v>
      </c>
      <c r="AE117" s="22"/>
      <c r="AF117" s="22" t="s">
        <v>145</v>
      </c>
      <c r="AG117" s="22" t="s">
        <v>146</v>
      </c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29">
        <v>46111.0</v>
      </c>
      <c r="BE117" s="30">
        <f t="shared" si="9"/>
        <v>46111</v>
      </c>
      <c r="BF117" s="31" t="str">
        <f t="shared" si="10"/>
        <v>#REF!</v>
      </c>
      <c r="BG117" s="15" t="s">
        <v>147</v>
      </c>
      <c r="BH117" s="15"/>
      <c r="BI117" s="15"/>
      <c r="BJ117" s="22" t="s">
        <v>360</v>
      </c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 t="str">
        <f t="shared" si="11"/>
        <v>52,22949 5,15961</v>
      </c>
      <c r="BV117" s="32">
        <v>52.22949</v>
      </c>
      <c r="BW117" s="32">
        <v>5.15961</v>
      </c>
      <c r="BX117" s="15"/>
      <c r="BY117" s="22">
        <v>15.0</v>
      </c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 t="s">
        <v>417</v>
      </c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</row>
    <row r="118" ht="14.25" customHeight="1">
      <c r="A118" s="22" t="s">
        <v>418</v>
      </c>
      <c r="B118" s="22"/>
      <c r="C118" s="22" t="s">
        <v>139</v>
      </c>
      <c r="D118" s="22"/>
      <c r="E118" s="22"/>
      <c r="F118" s="22"/>
      <c r="G118" s="22"/>
      <c r="H118" s="28" t="s">
        <v>202</v>
      </c>
      <c r="I118" s="28"/>
      <c r="J118" s="28"/>
      <c r="K118" s="28" t="s">
        <v>222</v>
      </c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>
        <v>1.0</v>
      </c>
      <c r="AE118" s="22"/>
      <c r="AF118" s="22" t="s">
        <v>145</v>
      </c>
      <c r="AG118" s="22" t="s">
        <v>155</v>
      </c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29">
        <v>46111.0</v>
      </c>
      <c r="BE118" s="30">
        <f t="shared" si="9"/>
        <v>46111</v>
      </c>
      <c r="BF118" s="31" t="str">
        <f t="shared" si="10"/>
        <v>#REF!</v>
      </c>
      <c r="BG118" s="15" t="s">
        <v>147</v>
      </c>
      <c r="BH118" s="15"/>
      <c r="BI118" s="15"/>
      <c r="BJ118" s="22" t="s">
        <v>360</v>
      </c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 t="str">
        <f t="shared" si="11"/>
        <v>52,22949 5,15961</v>
      </c>
      <c r="BV118" s="32">
        <v>52.22949</v>
      </c>
      <c r="BW118" s="32">
        <v>5.15961</v>
      </c>
      <c r="BX118" s="15"/>
      <c r="BY118" s="22">
        <v>15.0</v>
      </c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 t="s">
        <v>419</v>
      </c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</row>
    <row r="119" ht="14.25" customHeight="1">
      <c r="A119" s="22" t="s">
        <v>420</v>
      </c>
      <c r="B119" s="22"/>
      <c r="C119" s="22" t="s">
        <v>139</v>
      </c>
      <c r="D119" s="22"/>
      <c r="E119" s="22"/>
      <c r="F119" s="22"/>
      <c r="G119" s="22"/>
      <c r="H119" s="28" t="s">
        <v>141</v>
      </c>
      <c r="I119" s="28"/>
      <c r="J119" s="28"/>
      <c r="K119" s="28" t="s">
        <v>254</v>
      </c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>
        <v>1.0</v>
      </c>
      <c r="AE119" s="22"/>
      <c r="AF119" s="22" t="s">
        <v>145</v>
      </c>
      <c r="AG119" s="22" t="s">
        <v>155</v>
      </c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29">
        <v>46111.0</v>
      </c>
      <c r="BE119" s="30">
        <f t="shared" si="9"/>
        <v>46111</v>
      </c>
      <c r="BF119" s="31" t="str">
        <f t="shared" si="10"/>
        <v>#REF!</v>
      </c>
      <c r="BG119" s="15" t="s">
        <v>147</v>
      </c>
      <c r="BH119" s="15"/>
      <c r="BI119" s="15"/>
      <c r="BJ119" s="22" t="s">
        <v>360</v>
      </c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 t="str">
        <f t="shared" si="11"/>
        <v>52,22949 5,15961</v>
      </c>
      <c r="BV119" s="32">
        <v>52.22949</v>
      </c>
      <c r="BW119" s="32">
        <v>5.15961</v>
      </c>
      <c r="BX119" s="15"/>
      <c r="BY119" s="22">
        <v>15.0</v>
      </c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 t="s">
        <v>421</v>
      </c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</row>
    <row r="120" ht="14.25" customHeight="1">
      <c r="A120" s="22" t="s">
        <v>422</v>
      </c>
      <c r="B120" s="22"/>
      <c r="C120" s="22" t="s">
        <v>139</v>
      </c>
      <c r="D120" s="22"/>
      <c r="E120" s="22"/>
      <c r="F120" s="22"/>
      <c r="G120" s="22"/>
      <c r="H120" s="28" t="s">
        <v>141</v>
      </c>
      <c r="I120" s="28"/>
      <c r="J120" s="28"/>
      <c r="K120" s="28" t="s">
        <v>217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>
        <v>1.0</v>
      </c>
      <c r="AE120" s="22"/>
      <c r="AF120" s="22" t="s">
        <v>145</v>
      </c>
      <c r="AG120" s="22" t="s">
        <v>155</v>
      </c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29">
        <v>46111.0</v>
      </c>
      <c r="BE120" s="30">
        <f t="shared" si="9"/>
        <v>46111</v>
      </c>
      <c r="BF120" s="31" t="str">
        <f t="shared" si="10"/>
        <v>#REF!</v>
      </c>
      <c r="BG120" s="15" t="s">
        <v>147</v>
      </c>
      <c r="BH120" s="15"/>
      <c r="BI120" s="15"/>
      <c r="BJ120" s="22" t="s">
        <v>360</v>
      </c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 t="str">
        <f t="shared" si="11"/>
        <v>52,22949 5,15961</v>
      </c>
      <c r="BV120" s="32">
        <v>52.22949</v>
      </c>
      <c r="BW120" s="32">
        <v>5.15961</v>
      </c>
      <c r="BX120" s="15"/>
      <c r="BY120" s="22">
        <v>15.0</v>
      </c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 t="s">
        <v>423</v>
      </c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</row>
    <row r="121" ht="14.25" customHeight="1">
      <c r="A121" s="22" t="s">
        <v>424</v>
      </c>
      <c r="B121" s="22"/>
      <c r="C121" s="22" t="s">
        <v>139</v>
      </c>
      <c r="D121" s="22"/>
      <c r="E121" s="22"/>
      <c r="F121" s="22"/>
      <c r="G121" s="22"/>
      <c r="H121" s="28" t="s">
        <v>141</v>
      </c>
      <c r="I121" s="28"/>
      <c r="J121" s="28"/>
      <c r="K121" s="28" t="s">
        <v>425</v>
      </c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>
        <v>1.0</v>
      </c>
      <c r="AE121" s="22"/>
      <c r="AF121" s="22" t="s">
        <v>145</v>
      </c>
      <c r="AG121" s="22" t="s">
        <v>146</v>
      </c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29">
        <v>46111.0</v>
      </c>
      <c r="BE121" s="30">
        <f t="shared" si="9"/>
        <v>46111</v>
      </c>
      <c r="BF121" s="31" t="str">
        <f t="shared" si="10"/>
        <v>#REF!</v>
      </c>
      <c r="BG121" s="15" t="s">
        <v>147</v>
      </c>
      <c r="BH121" s="15"/>
      <c r="BI121" s="15"/>
      <c r="BJ121" s="22" t="s">
        <v>360</v>
      </c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 t="str">
        <f t="shared" si="11"/>
        <v>52,22949 5,15961</v>
      </c>
      <c r="BV121" s="32">
        <v>52.22949</v>
      </c>
      <c r="BW121" s="32">
        <v>5.15961</v>
      </c>
      <c r="BX121" s="15"/>
      <c r="BY121" s="22">
        <v>15.0</v>
      </c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 t="s">
        <v>426</v>
      </c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</row>
    <row r="122" ht="14.25" customHeight="1">
      <c r="A122" s="22" t="s">
        <v>427</v>
      </c>
      <c r="B122" s="22"/>
      <c r="C122" s="22" t="s">
        <v>139</v>
      </c>
      <c r="D122" s="22"/>
      <c r="E122" s="22"/>
      <c r="F122" s="22"/>
      <c r="G122" s="22"/>
      <c r="H122" s="28" t="s">
        <v>159</v>
      </c>
      <c r="I122" s="28"/>
      <c r="J122" s="28"/>
      <c r="K122" s="28" t="s">
        <v>176</v>
      </c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>
        <v>1.0</v>
      </c>
      <c r="AE122" s="22"/>
      <c r="AF122" s="22" t="s">
        <v>145</v>
      </c>
      <c r="AG122" s="22" t="s">
        <v>146</v>
      </c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29">
        <v>46111.0</v>
      </c>
      <c r="BE122" s="30">
        <f t="shared" si="9"/>
        <v>46111</v>
      </c>
      <c r="BF122" s="31" t="str">
        <f t="shared" si="10"/>
        <v>#REF!</v>
      </c>
      <c r="BG122" s="15" t="s">
        <v>147</v>
      </c>
      <c r="BH122" s="15"/>
      <c r="BI122" s="15"/>
      <c r="BJ122" s="22" t="s">
        <v>360</v>
      </c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 t="str">
        <f t="shared" si="11"/>
        <v>52,22949 5,15961</v>
      </c>
      <c r="BV122" s="32">
        <v>52.22949</v>
      </c>
      <c r="BW122" s="32">
        <v>5.15961</v>
      </c>
      <c r="BX122" s="15"/>
      <c r="BY122" s="22">
        <v>15.0</v>
      </c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 t="s">
        <v>428</v>
      </c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</row>
    <row r="123" ht="14.25" customHeight="1">
      <c r="A123" s="22" t="s">
        <v>429</v>
      </c>
      <c r="B123" s="22"/>
      <c r="C123" s="22" t="s">
        <v>139</v>
      </c>
      <c r="D123" s="22"/>
      <c r="E123" s="22"/>
      <c r="F123" s="22"/>
      <c r="G123" s="22"/>
      <c r="H123" s="28" t="s">
        <v>159</v>
      </c>
      <c r="I123" s="28"/>
      <c r="J123" s="28"/>
      <c r="K123" s="28" t="s">
        <v>430</v>
      </c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>
        <v>1.0</v>
      </c>
      <c r="AE123" s="22"/>
      <c r="AF123" s="22" t="s">
        <v>145</v>
      </c>
      <c r="AG123" s="22" t="s">
        <v>146</v>
      </c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29">
        <v>46111.0</v>
      </c>
      <c r="BE123" s="30">
        <f t="shared" si="9"/>
        <v>46111</v>
      </c>
      <c r="BF123" s="31" t="str">
        <f t="shared" si="10"/>
        <v>#REF!</v>
      </c>
      <c r="BG123" s="15" t="s">
        <v>147</v>
      </c>
      <c r="BH123" s="15"/>
      <c r="BI123" s="15"/>
      <c r="BJ123" s="22" t="s">
        <v>360</v>
      </c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 t="str">
        <f t="shared" si="11"/>
        <v>52,22949 5,15961</v>
      </c>
      <c r="BV123" s="32">
        <v>52.22949</v>
      </c>
      <c r="BW123" s="32">
        <v>5.15961</v>
      </c>
      <c r="BX123" s="15"/>
      <c r="BY123" s="22">
        <v>15.0</v>
      </c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 t="s">
        <v>431</v>
      </c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</row>
    <row r="124" ht="14.25" customHeight="1">
      <c r="A124" s="22" t="s">
        <v>432</v>
      </c>
      <c r="B124" s="22"/>
      <c r="C124" s="22" t="s">
        <v>139</v>
      </c>
      <c r="D124" s="22"/>
      <c r="E124" s="22"/>
      <c r="F124" s="22"/>
      <c r="G124" s="22"/>
      <c r="H124" s="28" t="s">
        <v>159</v>
      </c>
      <c r="I124" s="28"/>
      <c r="J124" s="28"/>
      <c r="K124" s="28" t="s">
        <v>263</v>
      </c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>
        <v>1.0</v>
      </c>
      <c r="AE124" s="22"/>
      <c r="AF124" s="22" t="s">
        <v>145</v>
      </c>
      <c r="AG124" s="22" t="s">
        <v>146</v>
      </c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29">
        <v>46111.0</v>
      </c>
      <c r="BE124" s="30">
        <f t="shared" si="9"/>
        <v>46111</v>
      </c>
      <c r="BF124" s="31" t="str">
        <f t="shared" si="10"/>
        <v>#REF!</v>
      </c>
      <c r="BG124" s="15" t="s">
        <v>147</v>
      </c>
      <c r="BH124" s="15"/>
      <c r="BI124" s="15"/>
      <c r="BJ124" s="22" t="s">
        <v>360</v>
      </c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 t="str">
        <f t="shared" si="11"/>
        <v>52,22949 5,15961</v>
      </c>
      <c r="BV124" s="32">
        <v>52.22949</v>
      </c>
      <c r="BW124" s="32">
        <v>5.15961</v>
      </c>
      <c r="BX124" s="15"/>
      <c r="BY124" s="22">
        <v>15.0</v>
      </c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 t="s">
        <v>433</v>
      </c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</row>
    <row r="125" ht="14.25" customHeight="1">
      <c r="A125" s="22" t="s">
        <v>434</v>
      </c>
      <c r="B125" s="22"/>
      <c r="C125" s="22" t="s">
        <v>139</v>
      </c>
      <c r="D125" s="22"/>
      <c r="E125" s="22"/>
      <c r="F125" s="22"/>
      <c r="G125" s="22"/>
      <c r="H125" s="28" t="s">
        <v>168</v>
      </c>
      <c r="I125" s="28"/>
      <c r="J125" s="28"/>
      <c r="K125" s="28" t="s">
        <v>169</v>
      </c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>
        <v>1.0</v>
      </c>
      <c r="AE125" s="22"/>
      <c r="AF125" s="22" t="s">
        <v>145</v>
      </c>
      <c r="AG125" s="22" t="s">
        <v>146</v>
      </c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29">
        <v>46111.0</v>
      </c>
      <c r="BE125" s="30">
        <f t="shared" si="9"/>
        <v>46111</v>
      </c>
      <c r="BF125" s="31" t="str">
        <f t="shared" si="10"/>
        <v>#REF!</v>
      </c>
      <c r="BG125" s="15" t="s">
        <v>147</v>
      </c>
      <c r="BH125" s="15"/>
      <c r="BI125" s="15"/>
      <c r="BJ125" s="22" t="s">
        <v>360</v>
      </c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 t="str">
        <f t="shared" si="11"/>
        <v>52,22949 5,15961</v>
      </c>
      <c r="BV125" s="32">
        <v>52.22949</v>
      </c>
      <c r="BW125" s="32">
        <v>5.15961</v>
      </c>
      <c r="BX125" s="15"/>
      <c r="BY125" s="22">
        <v>15.0</v>
      </c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</row>
    <row r="126" ht="14.25" customHeight="1">
      <c r="A126" s="22" t="s">
        <v>435</v>
      </c>
      <c r="B126" s="22"/>
      <c r="C126" s="22" t="s">
        <v>139</v>
      </c>
      <c r="D126" s="22"/>
      <c r="E126" s="22"/>
      <c r="F126" s="22"/>
      <c r="G126" s="22"/>
      <c r="H126" s="28" t="s">
        <v>141</v>
      </c>
      <c r="I126" s="28"/>
      <c r="J126" s="28"/>
      <c r="K126" s="28" t="s">
        <v>143</v>
      </c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>
        <v>1.0</v>
      </c>
      <c r="AE126" s="22"/>
      <c r="AF126" s="22" t="s">
        <v>145</v>
      </c>
      <c r="AG126" s="22" t="s">
        <v>146</v>
      </c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29">
        <v>46111.0</v>
      </c>
      <c r="BE126" s="30">
        <f t="shared" si="9"/>
        <v>46111</v>
      </c>
      <c r="BF126" s="31" t="str">
        <f t="shared" si="10"/>
        <v>#REF!</v>
      </c>
      <c r="BG126" s="15" t="s">
        <v>147</v>
      </c>
      <c r="BH126" s="15"/>
      <c r="BI126" s="15"/>
      <c r="BJ126" s="22" t="s">
        <v>360</v>
      </c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 t="str">
        <f t="shared" si="11"/>
        <v>52,22949 5,15961</v>
      </c>
      <c r="BV126" s="32">
        <v>52.22949</v>
      </c>
      <c r="BW126" s="32">
        <v>5.15961</v>
      </c>
      <c r="BX126" s="15"/>
      <c r="BY126" s="22">
        <v>15.0</v>
      </c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 t="s">
        <v>436</v>
      </c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</row>
    <row r="127" ht="14.25" customHeight="1">
      <c r="A127" s="22" t="s">
        <v>367</v>
      </c>
      <c r="B127" s="22"/>
      <c r="C127" s="22" t="s">
        <v>139</v>
      </c>
      <c r="D127" s="22"/>
      <c r="E127" s="22"/>
      <c r="F127" s="22"/>
      <c r="G127" s="22"/>
      <c r="H127" s="28" t="s">
        <v>283</v>
      </c>
      <c r="I127" s="28"/>
      <c r="J127" s="28"/>
      <c r="K127" s="28" t="s">
        <v>368</v>
      </c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>
        <v>1.0</v>
      </c>
      <c r="AE127" s="22"/>
      <c r="AF127" s="22" t="s">
        <v>145</v>
      </c>
      <c r="AG127" s="22" t="s">
        <v>146</v>
      </c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29">
        <v>46111.0</v>
      </c>
      <c r="BE127" s="30">
        <f t="shared" si="9"/>
        <v>46111</v>
      </c>
      <c r="BF127" s="31" t="str">
        <f t="shared" si="10"/>
        <v>#REF!</v>
      </c>
      <c r="BG127" s="15" t="s">
        <v>147</v>
      </c>
      <c r="BH127" s="15"/>
      <c r="BI127" s="15"/>
      <c r="BJ127" s="22" t="s">
        <v>360</v>
      </c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 t="str">
        <f t="shared" si="11"/>
        <v>52,22949 5,15961</v>
      </c>
      <c r="BV127" s="32">
        <v>52.22949</v>
      </c>
      <c r="BW127" s="32">
        <v>5.15961</v>
      </c>
      <c r="BX127" s="15"/>
      <c r="BY127" s="22">
        <v>15.0</v>
      </c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 t="s">
        <v>437</v>
      </c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</row>
    <row r="128" ht="14.25" customHeight="1">
      <c r="A128" s="22" t="s">
        <v>438</v>
      </c>
      <c r="B128" s="22"/>
      <c r="C128" s="22" t="s">
        <v>139</v>
      </c>
      <c r="D128" s="22"/>
      <c r="E128" s="22"/>
      <c r="F128" s="22"/>
      <c r="G128" s="22"/>
      <c r="H128" s="28" t="s">
        <v>151</v>
      </c>
      <c r="I128" s="28"/>
      <c r="J128" s="28"/>
      <c r="K128" s="28" t="s">
        <v>439</v>
      </c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>
        <v>1.0</v>
      </c>
      <c r="AE128" s="22"/>
      <c r="AF128" s="22" t="s">
        <v>145</v>
      </c>
      <c r="AG128" s="22" t="s">
        <v>155</v>
      </c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29">
        <v>46111.0</v>
      </c>
      <c r="BE128" s="30">
        <f t="shared" si="9"/>
        <v>46111</v>
      </c>
      <c r="BF128" s="31" t="str">
        <f t="shared" si="10"/>
        <v>#REF!</v>
      </c>
      <c r="BG128" s="15" t="s">
        <v>147</v>
      </c>
      <c r="BH128" s="15"/>
      <c r="BI128" s="15"/>
      <c r="BJ128" s="22" t="s">
        <v>360</v>
      </c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 t="str">
        <f t="shared" si="11"/>
        <v>52,22949 5,15961</v>
      </c>
      <c r="BV128" s="32">
        <v>52.22949</v>
      </c>
      <c r="BW128" s="32">
        <v>5.15961</v>
      </c>
      <c r="BX128" s="15"/>
      <c r="BY128" s="22">
        <v>15.0</v>
      </c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 t="s">
        <v>440</v>
      </c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</row>
    <row r="129" ht="14.25" customHeight="1">
      <c r="A129" s="22" t="s">
        <v>441</v>
      </c>
      <c r="B129" s="22"/>
      <c r="C129" s="22" t="s">
        <v>139</v>
      </c>
      <c r="D129" s="22"/>
      <c r="E129" s="22"/>
      <c r="F129" s="22"/>
      <c r="G129" s="22"/>
      <c r="H129" s="28" t="s">
        <v>283</v>
      </c>
      <c r="I129" s="28"/>
      <c r="J129" s="28"/>
      <c r="K129" s="28" t="s">
        <v>442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>
        <v>1.0</v>
      </c>
      <c r="AE129" s="22"/>
      <c r="AF129" s="22" t="s">
        <v>145</v>
      </c>
      <c r="AG129" s="22" t="s">
        <v>146</v>
      </c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29">
        <v>46111.0</v>
      </c>
      <c r="BE129" s="30">
        <f t="shared" si="9"/>
        <v>46111</v>
      </c>
      <c r="BF129" s="31" t="str">
        <f t="shared" si="10"/>
        <v>#REF!</v>
      </c>
      <c r="BG129" s="15" t="s">
        <v>147</v>
      </c>
      <c r="BH129" s="15"/>
      <c r="BI129" s="15"/>
      <c r="BJ129" s="22" t="s">
        <v>360</v>
      </c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 t="str">
        <f t="shared" si="11"/>
        <v>52,22949 5,15961</v>
      </c>
      <c r="BV129" s="32">
        <v>52.22949</v>
      </c>
      <c r="BW129" s="32">
        <v>5.15961</v>
      </c>
      <c r="BX129" s="15"/>
      <c r="BY129" s="22">
        <v>15.0</v>
      </c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 t="s">
        <v>443</v>
      </c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</row>
    <row r="130" ht="14.25" customHeight="1">
      <c r="A130" s="22" t="s">
        <v>444</v>
      </c>
      <c r="B130" s="22"/>
      <c r="C130" s="22" t="s">
        <v>139</v>
      </c>
      <c r="D130" s="22"/>
      <c r="E130" s="22"/>
      <c r="F130" s="22"/>
      <c r="G130" s="22"/>
      <c r="H130" s="28" t="s">
        <v>159</v>
      </c>
      <c r="I130" s="28"/>
      <c r="J130" s="28"/>
      <c r="K130" s="28" t="s">
        <v>313</v>
      </c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>
        <v>1.0</v>
      </c>
      <c r="AE130" s="22"/>
      <c r="AF130" s="22" t="s">
        <v>145</v>
      </c>
      <c r="AG130" s="22" t="s">
        <v>146</v>
      </c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29">
        <v>46111.0</v>
      </c>
      <c r="BE130" s="30">
        <f t="shared" si="9"/>
        <v>46111</v>
      </c>
      <c r="BF130" s="31" t="str">
        <f t="shared" si="10"/>
        <v>#REF!</v>
      </c>
      <c r="BG130" s="15" t="s">
        <v>147</v>
      </c>
      <c r="BH130" s="15"/>
      <c r="BI130" s="15"/>
      <c r="BJ130" s="22" t="s">
        <v>360</v>
      </c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 t="str">
        <f t="shared" si="11"/>
        <v>52,22949 5,15961</v>
      </c>
      <c r="BV130" s="32">
        <v>52.22949</v>
      </c>
      <c r="BW130" s="32">
        <v>5.15961</v>
      </c>
      <c r="BX130" s="15"/>
      <c r="BY130" s="22">
        <v>15.0</v>
      </c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 t="s">
        <v>445</v>
      </c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</row>
    <row r="131" ht="14.25" customHeight="1">
      <c r="A131" s="22" t="s">
        <v>446</v>
      </c>
      <c r="B131" s="22"/>
      <c r="C131" s="22" t="s">
        <v>139</v>
      </c>
      <c r="D131" s="22"/>
      <c r="E131" s="22"/>
      <c r="F131" s="22"/>
      <c r="G131" s="22"/>
      <c r="H131" s="28" t="s">
        <v>151</v>
      </c>
      <c r="I131" s="28"/>
      <c r="J131" s="28"/>
      <c r="K131" s="28" t="s">
        <v>447</v>
      </c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>
        <v>1.0</v>
      </c>
      <c r="AE131" s="22"/>
      <c r="AF131" s="22" t="s">
        <v>145</v>
      </c>
      <c r="AG131" s="22" t="s">
        <v>146</v>
      </c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29">
        <v>46111.0</v>
      </c>
      <c r="BE131" s="30">
        <f t="shared" si="9"/>
        <v>46111</v>
      </c>
      <c r="BF131" s="31" t="str">
        <f t="shared" si="10"/>
        <v>#REF!</v>
      </c>
      <c r="BG131" s="15" t="s">
        <v>147</v>
      </c>
      <c r="BH131" s="15"/>
      <c r="BI131" s="15"/>
      <c r="BJ131" s="22" t="s">
        <v>360</v>
      </c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 t="str">
        <f t="shared" si="11"/>
        <v>52,22949 5,15961</v>
      </c>
      <c r="BV131" s="32">
        <v>52.22949</v>
      </c>
      <c r="BW131" s="32">
        <v>5.15961</v>
      </c>
      <c r="BX131" s="15"/>
      <c r="BY131" s="22">
        <v>15.0</v>
      </c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 t="s">
        <v>448</v>
      </c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</row>
    <row r="132" ht="14.25" customHeight="1">
      <c r="A132" s="22" t="s">
        <v>449</v>
      </c>
      <c r="B132" s="22"/>
      <c r="C132" s="22" t="s">
        <v>139</v>
      </c>
      <c r="D132" s="22"/>
      <c r="E132" s="22"/>
      <c r="F132" s="22"/>
      <c r="G132" s="22"/>
      <c r="H132" s="28" t="s">
        <v>151</v>
      </c>
      <c r="I132" s="28"/>
      <c r="J132" s="28"/>
      <c r="K132" s="28" t="s">
        <v>447</v>
      </c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>
        <v>1.0</v>
      </c>
      <c r="AE132" s="22"/>
      <c r="AF132" s="22" t="s">
        <v>145</v>
      </c>
      <c r="AG132" s="22" t="s">
        <v>146</v>
      </c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29">
        <v>46111.0</v>
      </c>
      <c r="BE132" s="30">
        <f t="shared" si="9"/>
        <v>46111</v>
      </c>
      <c r="BF132" s="31" t="str">
        <f t="shared" si="10"/>
        <v>#REF!</v>
      </c>
      <c r="BG132" s="15" t="s">
        <v>147</v>
      </c>
      <c r="BH132" s="15"/>
      <c r="BI132" s="15"/>
      <c r="BJ132" s="22" t="s">
        <v>360</v>
      </c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 t="str">
        <f t="shared" si="11"/>
        <v>52,22949 5,15961</v>
      </c>
      <c r="BV132" s="32">
        <v>52.22949</v>
      </c>
      <c r="BW132" s="32">
        <v>5.15961</v>
      </c>
      <c r="BX132" s="15"/>
      <c r="BY132" s="22">
        <v>15.0</v>
      </c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 t="s">
        <v>450</v>
      </c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</row>
    <row r="133" ht="14.25" customHeight="1">
      <c r="A133" s="22" t="s">
        <v>451</v>
      </c>
      <c r="B133" s="22"/>
      <c r="C133" s="22" t="s">
        <v>139</v>
      </c>
      <c r="D133" s="22"/>
      <c r="E133" s="22"/>
      <c r="F133" s="22"/>
      <c r="G133" s="22"/>
      <c r="H133" s="28" t="s">
        <v>283</v>
      </c>
      <c r="I133" s="28"/>
      <c r="J133" s="28"/>
      <c r="K133" s="28" t="s">
        <v>365</v>
      </c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>
        <v>1.0</v>
      </c>
      <c r="AE133" s="22"/>
      <c r="AF133" s="22" t="s">
        <v>145</v>
      </c>
      <c r="AG133" s="22" t="s">
        <v>146</v>
      </c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29">
        <v>46111.0</v>
      </c>
      <c r="BE133" s="30">
        <f t="shared" si="9"/>
        <v>46111</v>
      </c>
      <c r="BF133" s="31" t="str">
        <f t="shared" si="10"/>
        <v>#REF!</v>
      </c>
      <c r="BG133" s="15" t="s">
        <v>147</v>
      </c>
      <c r="BH133" s="15"/>
      <c r="BI133" s="15"/>
      <c r="BJ133" s="22" t="s">
        <v>360</v>
      </c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 t="str">
        <f t="shared" si="11"/>
        <v>52,22949 5,15961</v>
      </c>
      <c r="BV133" s="32">
        <v>52.22949</v>
      </c>
      <c r="BW133" s="32">
        <v>5.15961</v>
      </c>
      <c r="BX133" s="15"/>
      <c r="BY133" s="22">
        <v>15.0</v>
      </c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 t="s">
        <v>452</v>
      </c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</row>
    <row r="134" ht="14.25" customHeight="1">
      <c r="A134" s="22" t="s">
        <v>453</v>
      </c>
      <c r="B134" s="22"/>
      <c r="C134" s="22" t="s">
        <v>139</v>
      </c>
      <c r="D134" s="22"/>
      <c r="E134" s="22"/>
      <c r="F134" s="22"/>
      <c r="G134" s="22"/>
      <c r="H134" s="28" t="s">
        <v>159</v>
      </c>
      <c r="I134" s="28"/>
      <c r="J134" s="28"/>
      <c r="K134" s="28" t="s">
        <v>454</v>
      </c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>
        <v>1.0</v>
      </c>
      <c r="AE134" s="22"/>
      <c r="AF134" s="22" t="s">
        <v>145</v>
      </c>
      <c r="AG134" s="22" t="s">
        <v>155</v>
      </c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29">
        <v>46111.0</v>
      </c>
      <c r="BE134" s="30">
        <f t="shared" si="9"/>
        <v>46111</v>
      </c>
      <c r="BF134" s="31" t="str">
        <f t="shared" si="10"/>
        <v>#REF!</v>
      </c>
      <c r="BG134" s="15" t="s">
        <v>147</v>
      </c>
      <c r="BH134" s="15"/>
      <c r="BI134" s="15"/>
      <c r="BJ134" s="22" t="s">
        <v>360</v>
      </c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 t="str">
        <f t="shared" si="11"/>
        <v>52,22949 5,15961</v>
      </c>
      <c r="BV134" s="32">
        <v>52.22949</v>
      </c>
      <c r="BW134" s="32">
        <v>5.15961</v>
      </c>
      <c r="BX134" s="15"/>
      <c r="BY134" s="22">
        <v>15.0</v>
      </c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 t="s">
        <v>455</v>
      </c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</row>
    <row r="135" ht="14.25" customHeight="1">
      <c r="A135" s="22" t="s">
        <v>456</v>
      </c>
      <c r="B135" s="22"/>
      <c r="C135" s="22" t="s">
        <v>139</v>
      </c>
      <c r="D135" s="22"/>
      <c r="E135" s="22"/>
      <c r="F135" s="22"/>
      <c r="G135" s="22"/>
      <c r="H135" s="28" t="s">
        <v>159</v>
      </c>
      <c r="I135" s="28"/>
      <c r="J135" s="28"/>
      <c r="K135" s="28" t="s">
        <v>313</v>
      </c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>
        <v>1.0</v>
      </c>
      <c r="AE135" s="22"/>
      <c r="AF135" s="22" t="s">
        <v>145</v>
      </c>
      <c r="AG135" s="22" t="s">
        <v>146</v>
      </c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29">
        <v>46111.0</v>
      </c>
      <c r="BE135" s="30">
        <f t="shared" si="9"/>
        <v>46111</v>
      </c>
      <c r="BF135" s="31" t="str">
        <f t="shared" si="10"/>
        <v>#REF!</v>
      </c>
      <c r="BG135" s="15" t="s">
        <v>147</v>
      </c>
      <c r="BH135" s="15"/>
      <c r="BI135" s="15"/>
      <c r="BJ135" s="22" t="s">
        <v>360</v>
      </c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 t="str">
        <f t="shared" si="11"/>
        <v>52,22949 5,15961</v>
      </c>
      <c r="BV135" s="32">
        <v>52.22949</v>
      </c>
      <c r="BW135" s="32">
        <v>5.15961</v>
      </c>
      <c r="BX135" s="15"/>
      <c r="BY135" s="22">
        <v>15.0</v>
      </c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 t="s">
        <v>457</v>
      </c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</row>
    <row r="136" ht="14.25" customHeight="1">
      <c r="A136" s="22" t="s">
        <v>458</v>
      </c>
      <c r="B136" s="22"/>
      <c r="C136" s="22" t="s">
        <v>139</v>
      </c>
      <c r="D136" s="22"/>
      <c r="E136" s="22"/>
      <c r="F136" s="22"/>
      <c r="G136" s="22"/>
      <c r="H136" s="28" t="s">
        <v>283</v>
      </c>
      <c r="I136" s="28"/>
      <c r="J136" s="28"/>
      <c r="K136" s="28" t="s">
        <v>459</v>
      </c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>
        <v>1.0</v>
      </c>
      <c r="AE136" s="22"/>
      <c r="AF136" s="22" t="s">
        <v>145</v>
      </c>
      <c r="AG136" s="22" t="s">
        <v>146</v>
      </c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29">
        <v>46111.0</v>
      </c>
      <c r="BE136" s="30">
        <f t="shared" si="9"/>
        <v>46111</v>
      </c>
      <c r="BF136" s="31" t="str">
        <f t="shared" si="10"/>
        <v>#REF!</v>
      </c>
      <c r="BG136" s="15" t="s">
        <v>147</v>
      </c>
      <c r="BH136" s="15"/>
      <c r="BI136" s="15"/>
      <c r="BJ136" s="22" t="s">
        <v>360</v>
      </c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 t="str">
        <f t="shared" si="11"/>
        <v>52,22949 5,15961</v>
      </c>
      <c r="BV136" s="32">
        <v>52.22949</v>
      </c>
      <c r="BW136" s="32">
        <v>5.15961</v>
      </c>
      <c r="BX136" s="15"/>
      <c r="BY136" s="22">
        <v>15.0</v>
      </c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 t="s">
        <v>460</v>
      </c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</row>
    <row r="137" ht="14.25" customHeight="1">
      <c r="A137" s="22" t="s">
        <v>461</v>
      </c>
      <c r="B137" s="22"/>
      <c r="C137" s="22" t="s">
        <v>139</v>
      </c>
      <c r="D137" s="22"/>
      <c r="E137" s="22"/>
      <c r="F137" s="22"/>
      <c r="G137" s="22"/>
      <c r="H137" s="28" t="s">
        <v>141</v>
      </c>
      <c r="I137" s="28"/>
      <c r="J137" s="28"/>
      <c r="K137" s="28" t="s">
        <v>217</v>
      </c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>
        <v>1.0</v>
      </c>
      <c r="AE137" s="22"/>
      <c r="AF137" s="22" t="s">
        <v>145</v>
      </c>
      <c r="AG137" s="22" t="s">
        <v>155</v>
      </c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29">
        <v>46111.0</v>
      </c>
      <c r="BE137" s="30">
        <f t="shared" si="9"/>
        <v>46111</v>
      </c>
      <c r="BF137" s="31" t="str">
        <f t="shared" si="10"/>
        <v>#REF!</v>
      </c>
      <c r="BG137" s="15" t="s">
        <v>147</v>
      </c>
      <c r="BH137" s="15"/>
      <c r="BI137" s="15"/>
      <c r="BJ137" s="22" t="s">
        <v>360</v>
      </c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 t="str">
        <f t="shared" si="11"/>
        <v>52,22949 5,15961</v>
      </c>
      <c r="BV137" s="32">
        <v>52.22949</v>
      </c>
      <c r="BW137" s="32">
        <v>5.15961</v>
      </c>
      <c r="BX137" s="15"/>
      <c r="BY137" s="22">
        <v>15.0</v>
      </c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 t="s">
        <v>462</v>
      </c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</row>
    <row r="138" ht="14.25" customHeight="1">
      <c r="A138" s="22" t="s">
        <v>463</v>
      </c>
      <c r="B138" s="22"/>
      <c r="C138" s="22" t="s">
        <v>139</v>
      </c>
      <c r="D138" s="22"/>
      <c r="E138" s="22"/>
      <c r="F138" s="22"/>
      <c r="G138" s="22"/>
      <c r="H138" s="28" t="s">
        <v>141</v>
      </c>
      <c r="I138" s="28"/>
      <c r="J138" s="28"/>
      <c r="K138" s="28" t="s">
        <v>464</v>
      </c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>
        <v>1.0</v>
      </c>
      <c r="AE138" s="22"/>
      <c r="AF138" s="22" t="s">
        <v>145</v>
      </c>
      <c r="AG138" s="22" t="s">
        <v>155</v>
      </c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29">
        <v>46111.0</v>
      </c>
      <c r="BE138" s="30">
        <f t="shared" si="9"/>
        <v>46111</v>
      </c>
      <c r="BF138" s="31" t="str">
        <f t="shared" si="10"/>
        <v>#REF!</v>
      </c>
      <c r="BG138" s="15" t="s">
        <v>147</v>
      </c>
      <c r="BH138" s="15"/>
      <c r="BI138" s="15"/>
      <c r="BJ138" s="22" t="s">
        <v>360</v>
      </c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 t="str">
        <f t="shared" si="11"/>
        <v>52,22949 5,15961</v>
      </c>
      <c r="BV138" s="32">
        <v>52.22949</v>
      </c>
      <c r="BW138" s="32">
        <v>5.15961</v>
      </c>
      <c r="BX138" s="15"/>
      <c r="BY138" s="22">
        <v>15.0</v>
      </c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 t="s">
        <v>465</v>
      </c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</row>
    <row r="139" ht="14.25" customHeight="1">
      <c r="A139" s="22" t="s">
        <v>466</v>
      </c>
      <c r="B139" s="22"/>
      <c r="C139" s="22" t="s">
        <v>139</v>
      </c>
      <c r="D139" s="22"/>
      <c r="E139" s="22"/>
      <c r="F139" s="22"/>
      <c r="G139" s="22"/>
      <c r="H139" s="28" t="s">
        <v>159</v>
      </c>
      <c r="I139" s="28"/>
      <c r="J139" s="28"/>
      <c r="K139" s="28" t="s">
        <v>398</v>
      </c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>
        <v>1.0</v>
      </c>
      <c r="AE139" s="22"/>
      <c r="AF139" s="22" t="s">
        <v>145</v>
      </c>
      <c r="AG139" s="22" t="s">
        <v>155</v>
      </c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29">
        <v>46111.0</v>
      </c>
      <c r="BE139" s="30">
        <f t="shared" si="9"/>
        <v>46111</v>
      </c>
      <c r="BF139" s="31" t="str">
        <f t="shared" si="10"/>
        <v>#REF!</v>
      </c>
      <c r="BG139" s="15" t="s">
        <v>147</v>
      </c>
      <c r="BH139" s="15"/>
      <c r="BI139" s="15"/>
      <c r="BJ139" s="22" t="s">
        <v>360</v>
      </c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 t="str">
        <f t="shared" si="11"/>
        <v>52,22949 5,15961</v>
      </c>
      <c r="BV139" s="32">
        <v>52.22949</v>
      </c>
      <c r="BW139" s="32">
        <v>5.15961</v>
      </c>
      <c r="BX139" s="15"/>
      <c r="BY139" s="22">
        <v>15.0</v>
      </c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 t="s">
        <v>467</v>
      </c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</row>
    <row r="140" ht="14.25" customHeight="1">
      <c r="A140" s="22"/>
      <c r="B140" s="22"/>
      <c r="C140" s="22"/>
      <c r="D140" s="22"/>
      <c r="E140" s="22"/>
      <c r="F140" s="22"/>
      <c r="G140" s="22"/>
      <c r="H140" s="28"/>
      <c r="I140" s="28"/>
      <c r="J140" s="28"/>
      <c r="K140" s="28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34"/>
      <c r="BE140" s="15"/>
      <c r="BF140" s="15"/>
      <c r="BG140" s="15"/>
      <c r="BH140" s="15"/>
      <c r="BI140" s="15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32"/>
      <c r="BW140" s="32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</row>
    <row r="141" ht="14.25" customHeight="1">
      <c r="A141" s="22"/>
      <c r="B141" s="22"/>
      <c r="C141" s="22"/>
      <c r="D141" s="22"/>
      <c r="E141" s="22"/>
      <c r="F141" s="22"/>
      <c r="G141" s="22"/>
      <c r="H141" s="28"/>
      <c r="I141" s="28"/>
      <c r="J141" s="28"/>
      <c r="K141" s="28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34"/>
      <c r="BE141" s="15"/>
      <c r="BF141" s="15"/>
      <c r="BG141" s="15"/>
      <c r="BH141" s="15"/>
      <c r="BI141" s="15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32"/>
      <c r="BW141" s="32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</row>
    <row r="142" ht="14.25" customHeight="1">
      <c r="A142" s="22"/>
      <c r="B142" s="22"/>
      <c r="C142" s="22"/>
      <c r="D142" s="22"/>
      <c r="E142" s="22"/>
      <c r="F142" s="22"/>
      <c r="G142" s="22"/>
      <c r="H142" s="28"/>
      <c r="I142" s="28"/>
      <c r="J142" s="28"/>
      <c r="K142" s="28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34"/>
      <c r="BE142" s="15"/>
      <c r="BF142" s="15"/>
      <c r="BG142" s="15"/>
      <c r="BH142" s="15"/>
      <c r="BI142" s="15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32"/>
      <c r="BW142" s="32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</row>
    <row r="143" ht="14.25" customHeight="1">
      <c r="A143" s="22"/>
      <c r="B143" s="22"/>
      <c r="C143" s="22"/>
      <c r="D143" s="22"/>
      <c r="E143" s="22"/>
      <c r="F143" s="22"/>
      <c r="G143" s="22"/>
      <c r="H143" s="28"/>
      <c r="I143" s="28"/>
      <c r="J143" s="28"/>
      <c r="K143" s="28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34"/>
      <c r="BE143" s="15"/>
      <c r="BF143" s="15"/>
      <c r="BG143" s="15"/>
      <c r="BH143" s="15"/>
      <c r="BI143" s="15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32"/>
      <c r="BW143" s="32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</row>
    <row r="144" ht="14.25" customHeight="1">
      <c r="A144" s="22"/>
      <c r="B144" s="22"/>
      <c r="C144" s="22"/>
      <c r="D144" s="22"/>
      <c r="E144" s="22"/>
      <c r="F144" s="22"/>
      <c r="G144" s="22"/>
      <c r="H144" s="28"/>
      <c r="I144" s="28"/>
      <c r="J144" s="28"/>
      <c r="K144" s="28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34"/>
      <c r="BE144" s="15"/>
      <c r="BF144" s="15"/>
      <c r="BG144" s="15"/>
      <c r="BH144" s="15"/>
      <c r="BI144" s="15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32"/>
      <c r="BW144" s="32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</row>
    <row r="145" ht="14.25" customHeight="1">
      <c r="A145" s="22"/>
      <c r="B145" s="22"/>
      <c r="C145" s="22"/>
      <c r="D145" s="22"/>
      <c r="E145" s="22"/>
      <c r="F145" s="22"/>
      <c r="G145" s="22"/>
      <c r="H145" s="28"/>
      <c r="I145" s="28"/>
      <c r="J145" s="28"/>
      <c r="K145" s="28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34"/>
      <c r="BE145" s="15"/>
      <c r="BF145" s="15"/>
      <c r="BG145" s="15"/>
      <c r="BH145" s="15"/>
      <c r="BI145" s="15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32"/>
      <c r="BW145" s="32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</row>
    <row r="146" ht="14.25" customHeight="1">
      <c r="A146" s="22"/>
      <c r="B146" s="22"/>
      <c r="C146" s="22"/>
      <c r="D146" s="22"/>
      <c r="E146" s="22"/>
      <c r="F146" s="22"/>
      <c r="G146" s="22"/>
      <c r="H146" s="28"/>
      <c r="I146" s="28"/>
      <c r="J146" s="28"/>
      <c r="K146" s="28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34"/>
      <c r="BE146" s="15"/>
      <c r="BF146" s="15"/>
      <c r="BG146" s="15"/>
      <c r="BH146" s="15"/>
      <c r="BI146" s="15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32"/>
      <c r="BW146" s="32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</row>
    <row r="147" ht="14.25" customHeight="1">
      <c r="A147" s="22"/>
      <c r="B147" s="22"/>
      <c r="C147" s="22"/>
      <c r="D147" s="22"/>
      <c r="E147" s="22"/>
      <c r="F147" s="22"/>
      <c r="G147" s="22"/>
      <c r="H147" s="28"/>
      <c r="I147" s="28"/>
      <c r="J147" s="28"/>
      <c r="K147" s="28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34"/>
      <c r="BE147" s="15"/>
      <c r="BF147" s="15"/>
      <c r="BG147" s="15"/>
      <c r="BH147" s="15"/>
      <c r="BI147" s="15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32"/>
      <c r="BW147" s="32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</row>
    <row r="148" ht="14.25" customHeight="1">
      <c r="A148" s="22"/>
      <c r="B148" s="22"/>
      <c r="C148" s="22"/>
      <c r="D148" s="22"/>
      <c r="E148" s="22"/>
      <c r="F148" s="22"/>
      <c r="G148" s="22"/>
      <c r="H148" s="28"/>
      <c r="I148" s="28"/>
      <c r="J148" s="28"/>
      <c r="K148" s="28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34"/>
      <c r="BE148" s="15"/>
      <c r="BF148" s="15"/>
      <c r="BG148" s="15"/>
      <c r="BH148" s="15"/>
      <c r="BI148" s="15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32"/>
      <c r="BW148" s="32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</row>
    <row r="149" ht="14.25" customHeight="1">
      <c r="A149" s="22"/>
      <c r="B149" s="22"/>
      <c r="C149" s="22"/>
      <c r="D149" s="22"/>
      <c r="E149" s="22"/>
      <c r="F149" s="22"/>
      <c r="G149" s="22"/>
      <c r="H149" s="28"/>
      <c r="I149" s="28"/>
      <c r="J149" s="28"/>
      <c r="K149" s="28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34"/>
      <c r="BE149" s="15"/>
      <c r="BF149" s="15"/>
      <c r="BG149" s="15"/>
      <c r="BH149" s="15"/>
      <c r="BI149" s="15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32"/>
      <c r="BW149" s="32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</row>
    <row r="150" ht="14.25" customHeight="1">
      <c r="A150" s="22"/>
      <c r="B150" s="22"/>
      <c r="C150" s="22"/>
      <c r="D150" s="22"/>
      <c r="E150" s="22"/>
      <c r="F150" s="22"/>
      <c r="G150" s="22"/>
      <c r="H150" s="28"/>
      <c r="I150" s="28"/>
      <c r="J150" s="28"/>
      <c r="K150" s="28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34"/>
      <c r="BE150" s="15"/>
      <c r="BF150" s="15"/>
      <c r="BG150" s="15"/>
      <c r="BH150" s="15"/>
      <c r="BI150" s="15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32"/>
      <c r="BW150" s="32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</row>
    <row r="151" ht="14.25" customHeight="1">
      <c r="A151" s="22"/>
      <c r="B151" s="22"/>
      <c r="C151" s="22"/>
      <c r="D151" s="22"/>
      <c r="E151" s="22"/>
      <c r="F151" s="22"/>
      <c r="G151" s="22"/>
      <c r="H151" s="28"/>
      <c r="I151" s="28"/>
      <c r="J151" s="28"/>
      <c r="K151" s="28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34"/>
      <c r="BE151" s="15"/>
      <c r="BF151" s="15"/>
      <c r="BG151" s="15"/>
      <c r="BH151" s="15"/>
      <c r="BI151" s="15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32"/>
      <c r="BW151" s="32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</row>
    <row r="152" ht="14.25" customHeight="1">
      <c r="A152" s="22"/>
      <c r="B152" s="22"/>
      <c r="C152" s="22"/>
      <c r="D152" s="22"/>
      <c r="E152" s="22"/>
      <c r="F152" s="22"/>
      <c r="G152" s="22"/>
      <c r="H152" s="28"/>
      <c r="I152" s="28"/>
      <c r="J152" s="28"/>
      <c r="K152" s="28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34"/>
      <c r="BE152" s="15"/>
      <c r="BF152" s="15"/>
      <c r="BG152" s="15"/>
      <c r="BH152" s="15"/>
      <c r="BI152" s="15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32"/>
      <c r="BW152" s="32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</row>
    <row r="153" ht="14.25" customHeight="1">
      <c r="A153" s="22"/>
      <c r="B153" s="22"/>
      <c r="C153" s="22"/>
      <c r="D153" s="22"/>
      <c r="E153" s="22"/>
      <c r="F153" s="22"/>
      <c r="G153" s="22"/>
      <c r="H153" s="28"/>
      <c r="I153" s="28"/>
      <c r="J153" s="28"/>
      <c r="K153" s="28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34"/>
      <c r="BE153" s="15"/>
      <c r="BF153" s="15"/>
      <c r="BG153" s="15"/>
      <c r="BH153" s="15"/>
      <c r="BI153" s="15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32"/>
      <c r="BW153" s="32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</row>
    <row r="154" ht="14.25" customHeight="1">
      <c r="A154" s="22"/>
      <c r="B154" s="22"/>
      <c r="C154" s="22"/>
      <c r="D154" s="22"/>
      <c r="E154" s="22"/>
      <c r="F154" s="22"/>
      <c r="G154" s="22"/>
      <c r="H154" s="28"/>
      <c r="I154" s="28"/>
      <c r="J154" s="28"/>
      <c r="K154" s="28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34"/>
      <c r="BE154" s="15"/>
      <c r="BF154" s="15"/>
      <c r="BG154" s="15"/>
      <c r="BH154" s="15"/>
      <c r="BI154" s="15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32"/>
      <c r="BW154" s="32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</row>
    <row r="155" ht="14.25" customHeight="1">
      <c r="A155" s="22"/>
      <c r="B155" s="22"/>
      <c r="C155" s="22"/>
      <c r="D155" s="22"/>
      <c r="E155" s="22"/>
      <c r="F155" s="22"/>
      <c r="G155" s="22"/>
      <c r="H155" s="28"/>
      <c r="I155" s="28"/>
      <c r="J155" s="28"/>
      <c r="K155" s="28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34"/>
      <c r="BE155" s="15"/>
      <c r="BF155" s="15"/>
      <c r="BG155" s="15"/>
      <c r="BH155" s="15"/>
      <c r="BI155" s="15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32"/>
      <c r="BW155" s="32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</row>
    <row r="156" ht="14.25" customHeight="1">
      <c r="A156" s="28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8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8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8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</row>
    <row r="157" ht="14.25" customHeight="1">
      <c r="A157" s="28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8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8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8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</row>
    <row r="158" ht="14.25" customHeight="1">
      <c r="A158" s="28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8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8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8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</row>
    <row r="159" ht="14.25" customHeight="1">
      <c r="A159" s="28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8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8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8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</row>
    <row r="160" ht="14.25" customHeight="1">
      <c r="A160" s="28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8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8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8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</row>
    <row r="161" ht="14.25" customHeight="1">
      <c r="A161" s="28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8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8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8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</row>
    <row r="162" ht="14.25" customHeight="1">
      <c r="A162" s="28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8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8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8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</row>
    <row r="163" ht="14.25" customHeight="1">
      <c r="A163" s="28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8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8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8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</row>
    <row r="164" ht="14.25" customHeight="1">
      <c r="A164" s="28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8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8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8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</row>
    <row r="165" ht="14.25" customHeight="1">
      <c r="A165" s="28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8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8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8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</row>
    <row r="166" ht="14.25" customHeight="1">
      <c r="A166" s="28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8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8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8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</row>
    <row r="167" ht="14.25" customHeight="1">
      <c r="A167" s="28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8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8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8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</row>
    <row r="168" ht="14.25" customHeight="1">
      <c r="A168" s="28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8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8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8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</row>
    <row r="169" ht="14.25" customHeight="1">
      <c r="A169" s="28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8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8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8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</row>
    <row r="170" ht="14.25" customHeight="1">
      <c r="A170" s="28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8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8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8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</row>
    <row r="171" ht="14.25" customHeight="1">
      <c r="A171" s="28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8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8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8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</row>
    <row r="172" ht="14.25" customHeight="1">
      <c r="A172" s="28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8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8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8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</row>
    <row r="173" ht="14.25" customHeight="1">
      <c r="A173" s="28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8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8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8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</row>
    <row r="174" ht="14.25" customHeight="1">
      <c r="A174" s="28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8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8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8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</row>
    <row r="175" ht="14.25" customHeight="1">
      <c r="A175" s="28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8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8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8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</row>
    <row r="176" ht="14.25" customHeight="1">
      <c r="A176" s="28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8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8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8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</row>
    <row r="177" ht="14.25" customHeight="1">
      <c r="A177" s="28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8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8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8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</row>
    <row r="178" ht="14.25" customHeight="1">
      <c r="A178" s="28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8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8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8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</row>
    <row r="179" ht="14.25" customHeight="1">
      <c r="A179" s="28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8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8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8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</row>
    <row r="180" ht="14.25" customHeight="1">
      <c r="A180" s="28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8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8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8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</row>
    <row r="181" ht="14.25" customHeight="1">
      <c r="A181" s="28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8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8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8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</row>
    <row r="182" ht="14.25" customHeight="1">
      <c r="A182" s="28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8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8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8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</row>
    <row r="183" ht="14.25" customHeight="1">
      <c r="A183" s="28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8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8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8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</row>
    <row r="184" ht="14.25" customHeight="1">
      <c r="A184" s="28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8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8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8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</row>
    <row r="185" ht="14.25" customHeight="1">
      <c r="A185" s="28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8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8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8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</row>
    <row r="186" ht="14.25" customHeight="1">
      <c r="A186" s="28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8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8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8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</row>
    <row r="187" ht="14.25" customHeight="1">
      <c r="A187" s="28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8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8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8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</row>
    <row r="188" ht="14.25" customHeight="1">
      <c r="A188" s="28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8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8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8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</row>
    <row r="189" ht="14.25" customHeight="1">
      <c r="A189" s="28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8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8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8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</row>
    <row r="190" ht="14.25" customHeight="1">
      <c r="A190" s="28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8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8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8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</row>
    <row r="191" ht="14.25" customHeight="1">
      <c r="A191" s="28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8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8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8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</row>
    <row r="192" ht="14.25" customHeight="1">
      <c r="A192" s="28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8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8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8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</row>
    <row r="193" ht="14.25" customHeight="1">
      <c r="A193" s="28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8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8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8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</row>
    <row r="194" ht="14.25" customHeight="1">
      <c r="A194" s="28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8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8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8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</row>
    <row r="195" ht="14.25" customHeight="1">
      <c r="A195" s="28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8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8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8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</row>
    <row r="196" ht="14.25" customHeight="1">
      <c r="A196" s="28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8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8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8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</row>
    <row r="197" ht="14.25" customHeight="1">
      <c r="A197" s="28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8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8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8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</row>
    <row r="198" ht="14.25" customHeight="1">
      <c r="A198" s="28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8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8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8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</row>
    <row r="199" ht="14.25" customHeight="1">
      <c r="A199" s="28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8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8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8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</row>
    <row r="200" ht="14.25" customHeight="1">
      <c r="A200" s="28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8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8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8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</row>
    <row r="201" ht="14.25" customHeight="1">
      <c r="A201" s="28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8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8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8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</row>
    <row r="202" ht="14.25" customHeight="1">
      <c r="A202" s="28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8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8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8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</row>
    <row r="203" ht="14.25" customHeight="1">
      <c r="A203" s="28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8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8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8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</row>
    <row r="204" ht="14.25" customHeight="1">
      <c r="A204" s="28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8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8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8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</row>
    <row r="205" ht="14.25" customHeight="1">
      <c r="A205" s="28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8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8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8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</row>
    <row r="206" ht="14.25" customHeight="1">
      <c r="A206" s="28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8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8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8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</row>
    <row r="207" ht="14.25" customHeight="1">
      <c r="A207" s="28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8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8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8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</row>
    <row r="208" ht="14.25" customHeight="1">
      <c r="A208" s="28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8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8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8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</row>
    <row r="209" ht="14.25" customHeight="1">
      <c r="A209" s="28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8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8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8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</row>
    <row r="210" ht="14.25" customHeight="1">
      <c r="A210" s="28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8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8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8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</row>
    <row r="211" ht="14.25" customHeight="1">
      <c r="A211" s="28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8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8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8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</row>
    <row r="212" ht="14.25" customHeight="1">
      <c r="A212" s="28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8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8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8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</row>
    <row r="213" ht="14.25" customHeight="1">
      <c r="A213" s="28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8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8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8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</row>
    <row r="214" ht="14.25" customHeight="1">
      <c r="A214" s="28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8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8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8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</row>
    <row r="215" ht="14.25" customHeight="1">
      <c r="A215" s="28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8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8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8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</row>
    <row r="216" ht="14.25" customHeight="1">
      <c r="A216" s="28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8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8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8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</row>
    <row r="217" ht="14.25" customHeight="1">
      <c r="A217" s="28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8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8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8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</row>
    <row r="218" ht="14.25" customHeight="1">
      <c r="A218" s="28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8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8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8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</row>
    <row r="219" ht="14.25" customHeight="1">
      <c r="A219" s="28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8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8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8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</row>
    <row r="220" ht="14.25" customHeight="1">
      <c r="A220" s="28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8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8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8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</row>
    <row r="221" ht="14.25" customHeight="1">
      <c r="A221" s="28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8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8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8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</row>
    <row r="222" ht="14.25" customHeight="1">
      <c r="A222" s="28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8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8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8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</row>
    <row r="223" ht="14.25" customHeight="1">
      <c r="A223" s="28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8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8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8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</row>
    <row r="224" ht="14.25" customHeight="1">
      <c r="A224" s="28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8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8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8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</row>
    <row r="225" ht="14.25" customHeight="1">
      <c r="A225" s="28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8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8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8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</row>
    <row r="226" ht="14.25" customHeight="1">
      <c r="A226" s="28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8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8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8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</row>
    <row r="227" ht="14.25" customHeight="1">
      <c r="A227" s="28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8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8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8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</row>
    <row r="228" ht="14.25" customHeight="1">
      <c r="A228" s="28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8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8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8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</row>
    <row r="229" ht="14.25" customHeight="1">
      <c r="A229" s="28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8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8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8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</row>
    <row r="230" ht="14.25" customHeight="1">
      <c r="A230" s="28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8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8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8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</row>
    <row r="231" ht="14.25" customHeight="1">
      <c r="A231" s="28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8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8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8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</row>
    <row r="232" ht="14.25" customHeight="1">
      <c r="A232" s="28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8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8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8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</row>
    <row r="233" ht="14.25" customHeight="1">
      <c r="A233" s="28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8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8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8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</row>
    <row r="234" ht="14.25" customHeight="1">
      <c r="A234" s="28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8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8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8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</row>
    <row r="235" ht="14.25" customHeight="1">
      <c r="A235" s="28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8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8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8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</row>
    <row r="236" ht="14.25" customHeight="1">
      <c r="A236" s="28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8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8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8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5"/>
    </row>
    <row r="237" ht="14.25" customHeight="1">
      <c r="A237" s="28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8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8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8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</row>
    <row r="238" ht="14.25" customHeight="1">
      <c r="A238" s="28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8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8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8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</row>
    <row r="239" ht="14.25" customHeight="1">
      <c r="A239" s="28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8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8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8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</row>
    <row r="240" ht="14.25" customHeight="1">
      <c r="A240" s="28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8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8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8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  <c r="DF240" s="15"/>
      <c r="DG240" s="15"/>
      <c r="DH240" s="15"/>
    </row>
    <row r="241" ht="14.25" customHeight="1">
      <c r="A241" s="28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8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8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8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</row>
    <row r="242" ht="14.25" customHeight="1">
      <c r="A242" s="28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8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8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8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</row>
    <row r="243" ht="14.25" customHeight="1">
      <c r="A243" s="28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8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8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8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</row>
    <row r="244" ht="14.25" customHeight="1">
      <c r="A244" s="28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8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8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8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  <c r="DF244" s="15"/>
      <c r="DG244" s="15"/>
      <c r="DH244" s="15"/>
    </row>
    <row r="245" ht="14.25" customHeight="1">
      <c r="A245" s="28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8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8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8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</row>
    <row r="246" ht="14.25" customHeight="1">
      <c r="A246" s="28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8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8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8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  <c r="DF246" s="15"/>
      <c r="DG246" s="15"/>
      <c r="DH246" s="15"/>
    </row>
    <row r="247" ht="14.25" customHeight="1">
      <c r="A247" s="28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8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8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8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</row>
    <row r="248" ht="14.25" customHeight="1">
      <c r="A248" s="28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8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8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8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  <c r="DF248" s="15"/>
      <c r="DG248" s="15"/>
      <c r="DH248" s="15"/>
    </row>
    <row r="249" ht="14.25" customHeight="1">
      <c r="A249" s="28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8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8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8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</row>
    <row r="250" ht="14.25" customHeight="1">
      <c r="A250" s="28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8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8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8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  <c r="DF250" s="15"/>
      <c r="DG250" s="15"/>
      <c r="DH250" s="15"/>
    </row>
    <row r="251" ht="14.25" customHeight="1">
      <c r="A251" s="28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8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8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8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</row>
    <row r="252" ht="14.25" customHeight="1">
      <c r="A252" s="28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8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8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8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5"/>
      <c r="DF252" s="15"/>
      <c r="DG252" s="15"/>
      <c r="DH252" s="15"/>
    </row>
    <row r="253" ht="14.25" customHeight="1">
      <c r="A253" s="28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8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8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8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</row>
    <row r="254" ht="14.25" customHeight="1">
      <c r="A254" s="28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8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8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8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  <c r="DF254" s="15"/>
      <c r="DG254" s="15"/>
      <c r="DH254" s="15"/>
    </row>
    <row r="255" ht="14.25" customHeight="1">
      <c r="A255" s="28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8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8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8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</row>
    <row r="256" ht="14.25" customHeight="1">
      <c r="A256" s="28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8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8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8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5"/>
      <c r="DF256" s="15"/>
      <c r="DG256" s="15"/>
      <c r="DH256" s="15"/>
    </row>
    <row r="257" ht="14.25" customHeight="1">
      <c r="A257" s="28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8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8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8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</row>
    <row r="258" ht="14.25" customHeight="1">
      <c r="A258" s="28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8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8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8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</row>
    <row r="259" ht="14.25" customHeight="1">
      <c r="A259" s="28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8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8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8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</row>
    <row r="260" ht="14.25" customHeight="1">
      <c r="A260" s="28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8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8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8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</row>
    <row r="261" ht="14.25" customHeight="1">
      <c r="A261" s="28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8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8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8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</row>
    <row r="262" ht="14.25" customHeight="1">
      <c r="A262" s="28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8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8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8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</row>
    <row r="263" ht="14.25" customHeight="1">
      <c r="A263" s="28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8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8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8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</row>
    <row r="264" ht="14.25" customHeight="1">
      <c r="A264" s="28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8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8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8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  <c r="DF264" s="15"/>
      <c r="DG264" s="15"/>
      <c r="DH264" s="15"/>
    </row>
    <row r="265" ht="14.25" customHeight="1">
      <c r="A265" s="28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8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8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8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</row>
    <row r="266" ht="14.25" customHeight="1">
      <c r="A266" s="28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8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8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8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  <c r="DF266" s="15"/>
      <c r="DG266" s="15"/>
      <c r="DH266" s="15"/>
    </row>
    <row r="267" ht="14.25" customHeight="1">
      <c r="A267" s="28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8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8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8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</row>
    <row r="268" ht="14.25" customHeight="1">
      <c r="A268" s="28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8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8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8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</row>
    <row r="269" ht="14.25" customHeight="1">
      <c r="A269" s="28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8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8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8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</row>
    <row r="270" ht="14.25" customHeight="1">
      <c r="A270" s="28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8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8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8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  <c r="DF270" s="15"/>
      <c r="DG270" s="15"/>
      <c r="DH270" s="15"/>
    </row>
    <row r="271" ht="14.25" customHeight="1">
      <c r="A271" s="28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8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8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8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</row>
    <row r="272" ht="14.25" customHeight="1">
      <c r="A272" s="28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8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8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8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  <c r="DF272" s="15"/>
      <c r="DG272" s="15"/>
      <c r="DH272" s="15"/>
    </row>
    <row r="273" ht="14.25" customHeight="1">
      <c r="A273" s="28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8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8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8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</row>
    <row r="274" ht="14.25" customHeight="1">
      <c r="A274" s="28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8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8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8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  <c r="DF274" s="15"/>
      <c r="DG274" s="15"/>
      <c r="DH274" s="15"/>
    </row>
    <row r="275" ht="14.25" customHeight="1">
      <c r="A275" s="28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8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8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8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</row>
    <row r="276" ht="14.25" customHeight="1">
      <c r="A276" s="28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8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8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8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  <c r="DF276" s="15"/>
      <c r="DG276" s="15"/>
      <c r="DH276" s="15"/>
    </row>
    <row r="277" ht="14.25" customHeight="1">
      <c r="A277" s="28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8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8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8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</row>
    <row r="278" ht="14.25" customHeight="1">
      <c r="A278" s="28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8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8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8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  <c r="DF278" s="15"/>
      <c r="DG278" s="15"/>
      <c r="DH278" s="15"/>
    </row>
    <row r="279" ht="14.25" customHeight="1">
      <c r="A279" s="28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8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8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8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</row>
    <row r="280" ht="14.25" customHeight="1">
      <c r="A280" s="28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8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8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8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  <c r="DF280" s="15"/>
      <c r="DG280" s="15"/>
      <c r="DH280" s="15"/>
    </row>
    <row r="281" ht="14.25" customHeight="1">
      <c r="A281" s="28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8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8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8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</row>
    <row r="282" ht="14.25" customHeight="1">
      <c r="A282" s="28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8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8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8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  <c r="DF282" s="15"/>
      <c r="DG282" s="15"/>
      <c r="DH282" s="15"/>
    </row>
    <row r="283" ht="14.25" customHeight="1">
      <c r="A283" s="28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8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8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8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</row>
    <row r="284" ht="14.25" customHeight="1">
      <c r="A284" s="28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8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8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8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  <c r="CD284" s="22"/>
      <c r="CE284" s="22"/>
      <c r="CF284" s="22"/>
      <c r="CG284" s="22"/>
      <c r="CH284" s="22"/>
      <c r="CI284" s="22"/>
      <c r="CJ284" s="22"/>
      <c r="CK284" s="22"/>
      <c r="CL284" s="22"/>
      <c r="CM284" s="22"/>
      <c r="CN284" s="22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  <c r="DF284" s="15"/>
      <c r="DG284" s="15"/>
      <c r="DH284" s="15"/>
    </row>
    <row r="285" ht="14.25" customHeight="1">
      <c r="A285" s="28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8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8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8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</row>
    <row r="286" ht="14.25" customHeight="1">
      <c r="A286" s="28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8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8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8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  <c r="DF286" s="15"/>
      <c r="DG286" s="15"/>
      <c r="DH286" s="15"/>
    </row>
    <row r="287" ht="14.25" customHeight="1">
      <c r="A287" s="28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8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8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8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</row>
    <row r="288" ht="14.25" customHeight="1">
      <c r="A288" s="28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8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8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8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  <c r="DF288" s="15"/>
      <c r="DG288" s="15"/>
      <c r="DH288" s="15"/>
    </row>
    <row r="289" ht="14.25" customHeight="1">
      <c r="A289" s="28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8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8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8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</row>
    <row r="290" ht="14.25" customHeight="1">
      <c r="A290" s="28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8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8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8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  <c r="DF290" s="15"/>
      <c r="DG290" s="15"/>
      <c r="DH290" s="15"/>
    </row>
    <row r="291" ht="14.25" customHeight="1">
      <c r="A291" s="28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8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8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8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</row>
    <row r="292" ht="14.25" customHeight="1">
      <c r="A292" s="28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8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8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8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  <c r="DF292" s="15"/>
      <c r="DG292" s="15"/>
      <c r="DH292" s="15"/>
    </row>
    <row r="293" ht="14.25" customHeight="1">
      <c r="A293" s="28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8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8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8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22"/>
      <c r="CE293" s="22"/>
      <c r="CF293" s="22"/>
      <c r="CG293" s="22"/>
      <c r="CH293" s="22"/>
      <c r="CI293" s="22"/>
      <c r="CJ293" s="22"/>
      <c r="CK293" s="22"/>
      <c r="CL293" s="22"/>
      <c r="CM293" s="22"/>
      <c r="CN293" s="22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</row>
    <row r="294" ht="14.25" customHeight="1">
      <c r="A294" s="28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8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8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8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5"/>
    </row>
    <row r="295" ht="14.25" customHeight="1">
      <c r="A295" s="28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8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8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8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</row>
    <row r="296" ht="14.25" customHeight="1">
      <c r="A296" s="28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8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8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8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  <c r="DF296" s="15"/>
      <c r="DG296" s="15"/>
      <c r="DH296" s="15"/>
    </row>
    <row r="297" ht="14.25" customHeight="1">
      <c r="A297" s="28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8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8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8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</row>
    <row r="298" ht="14.25" customHeight="1">
      <c r="A298" s="28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8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8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8"/>
      <c r="BS298" s="22"/>
      <c r="BT298" s="22"/>
      <c r="BU298" s="22"/>
      <c r="BV298" s="22"/>
      <c r="BW298" s="22"/>
      <c r="BX298" s="22"/>
      <c r="BY298" s="22"/>
      <c r="BZ298" s="22"/>
      <c r="CA298" s="22"/>
      <c r="CB298" s="22"/>
      <c r="CC298" s="22"/>
      <c r="CD298" s="22"/>
      <c r="CE298" s="22"/>
      <c r="CF298" s="22"/>
      <c r="CG298" s="22"/>
      <c r="CH298" s="22"/>
      <c r="CI298" s="22"/>
      <c r="CJ298" s="22"/>
      <c r="CK298" s="22"/>
      <c r="CL298" s="22"/>
      <c r="CM298" s="22"/>
      <c r="CN298" s="22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  <c r="DF298" s="15"/>
      <c r="DG298" s="15"/>
      <c r="DH298" s="15"/>
    </row>
    <row r="299" ht="14.25" customHeight="1">
      <c r="A299" s="28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8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8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8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</row>
    <row r="300" ht="14.25" customHeight="1">
      <c r="A300" s="28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8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8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8"/>
      <c r="BS300" s="22"/>
      <c r="BT300" s="22"/>
      <c r="BU300" s="22"/>
      <c r="BV300" s="22"/>
      <c r="BW300" s="22"/>
      <c r="BX300" s="22"/>
      <c r="BY300" s="22"/>
      <c r="BZ300" s="22"/>
      <c r="CA300" s="22"/>
      <c r="CB300" s="22"/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  <c r="DF300" s="15"/>
      <c r="DG300" s="15"/>
      <c r="DH300" s="15"/>
    </row>
    <row r="301" ht="14.25" customHeight="1">
      <c r="A301" s="28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8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8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8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</row>
    <row r="302" ht="14.25" customHeight="1">
      <c r="A302" s="28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8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8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8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  <c r="DF302" s="15"/>
      <c r="DG302" s="15"/>
      <c r="DH302" s="15"/>
    </row>
    <row r="303" ht="14.25" customHeight="1">
      <c r="A303" s="28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8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8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8"/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  <c r="CD303" s="22"/>
      <c r="CE303" s="22"/>
      <c r="CF303" s="22"/>
      <c r="CG303" s="22"/>
      <c r="CH303" s="22"/>
      <c r="CI303" s="22"/>
      <c r="CJ303" s="22"/>
      <c r="CK303" s="22"/>
      <c r="CL303" s="22"/>
      <c r="CM303" s="22"/>
      <c r="CN303" s="22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</row>
    <row r="304" ht="14.25" customHeight="1">
      <c r="A304" s="28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8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8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8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  <c r="CD304" s="22"/>
      <c r="CE304" s="22"/>
      <c r="CF304" s="22"/>
      <c r="CG304" s="22"/>
      <c r="CH304" s="22"/>
      <c r="CI304" s="22"/>
      <c r="CJ304" s="22"/>
      <c r="CK304" s="22"/>
      <c r="CL304" s="22"/>
      <c r="CM304" s="22"/>
      <c r="CN304" s="22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  <c r="DF304" s="15"/>
      <c r="DG304" s="15"/>
      <c r="DH304" s="15"/>
    </row>
    <row r="305" ht="14.25" customHeight="1">
      <c r="A305" s="28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8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8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8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</row>
    <row r="306" ht="14.25" customHeight="1">
      <c r="A306" s="28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8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8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8"/>
      <c r="BS306" s="22"/>
      <c r="BT306" s="22"/>
      <c r="BU306" s="22"/>
      <c r="BV306" s="22"/>
      <c r="BW306" s="22"/>
      <c r="BX306" s="22"/>
      <c r="BY306" s="22"/>
      <c r="BZ306" s="22"/>
      <c r="CA306" s="22"/>
      <c r="CB306" s="22"/>
      <c r="CC306" s="22"/>
      <c r="CD306" s="22"/>
      <c r="CE306" s="22"/>
      <c r="CF306" s="22"/>
      <c r="CG306" s="22"/>
      <c r="CH306" s="22"/>
      <c r="CI306" s="22"/>
      <c r="CJ306" s="22"/>
      <c r="CK306" s="22"/>
      <c r="CL306" s="22"/>
      <c r="CM306" s="22"/>
      <c r="CN306" s="22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  <c r="DF306" s="15"/>
      <c r="DG306" s="15"/>
      <c r="DH306" s="15"/>
    </row>
    <row r="307" ht="14.25" customHeight="1">
      <c r="A307" s="28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8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8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8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</row>
    <row r="308" ht="14.25" customHeight="1">
      <c r="A308" s="28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8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8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8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</row>
    <row r="309" ht="14.25" customHeight="1">
      <c r="A309" s="28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8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8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8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</row>
    <row r="310" ht="14.25" customHeight="1">
      <c r="A310" s="28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8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8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8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</row>
    <row r="311" ht="14.25" customHeight="1">
      <c r="A311" s="28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8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8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8"/>
      <c r="BS311" s="22"/>
      <c r="BT311" s="22"/>
      <c r="BU311" s="22"/>
      <c r="BV311" s="22"/>
      <c r="BW311" s="22"/>
      <c r="BX311" s="22"/>
      <c r="BY311" s="22"/>
      <c r="BZ311" s="22"/>
      <c r="CA311" s="22"/>
      <c r="CB311" s="22"/>
      <c r="CC311" s="22"/>
      <c r="CD311" s="22"/>
      <c r="CE311" s="22"/>
      <c r="CF311" s="22"/>
      <c r="CG311" s="22"/>
      <c r="CH311" s="22"/>
      <c r="CI311" s="22"/>
      <c r="CJ311" s="22"/>
      <c r="CK311" s="22"/>
      <c r="CL311" s="22"/>
      <c r="CM311" s="22"/>
      <c r="CN311" s="22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</row>
    <row r="312" ht="14.25" customHeight="1">
      <c r="A312" s="28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8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8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8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E312" s="22"/>
      <c r="CF312" s="22"/>
      <c r="CG312" s="22"/>
      <c r="CH312" s="22"/>
      <c r="CI312" s="22"/>
      <c r="CJ312" s="22"/>
      <c r="CK312" s="22"/>
      <c r="CL312" s="22"/>
      <c r="CM312" s="22"/>
      <c r="CN312" s="22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</row>
    <row r="313" ht="14.25" customHeight="1">
      <c r="A313" s="28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8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8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8"/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  <c r="CD313" s="22"/>
      <c r="CE313" s="22"/>
      <c r="CF313" s="22"/>
      <c r="CG313" s="22"/>
      <c r="CH313" s="22"/>
      <c r="CI313" s="22"/>
      <c r="CJ313" s="22"/>
      <c r="CK313" s="22"/>
      <c r="CL313" s="22"/>
      <c r="CM313" s="22"/>
      <c r="CN313" s="22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</row>
    <row r="314" ht="14.25" customHeight="1">
      <c r="A314" s="28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8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8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8"/>
      <c r="BS314" s="22"/>
      <c r="BT314" s="22"/>
      <c r="BU314" s="22"/>
      <c r="BV314" s="22"/>
      <c r="BW314" s="22"/>
      <c r="BX314" s="22"/>
      <c r="BY314" s="22"/>
      <c r="BZ314" s="22"/>
      <c r="CA314" s="22"/>
      <c r="CB314" s="22"/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  <c r="DF314" s="15"/>
      <c r="DG314" s="15"/>
      <c r="DH314" s="15"/>
    </row>
    <row r="315" ht="14.25" customHeight="1">
      <c r="A315" s="28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8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8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8"/>
      <c r="BS315" s="22"/>
      <c r="BT315" s="22"/>
      <c r="BU315" s="22"/>
      <c r="BV315" s="22"/>
      <c r="BW315" s="22"/>
      <c r="BX315" s="22"/>
      <c r="BY315" s="22"/>
      <c r="BZ315" s="22"/>
      <c r="CA315" s="22"/>
      <c r="CB315" s="22"/>
      <c r="CC315" s="22"/>
      <c r="CD315" s="22"/>
      <c r="CE315" s="22"/>
      <c r="CF315" s="22"/>
      <c r="CG315" s="22"/>
      <c r="CH315" s="22"/>
      <c r="CI315" s="22"/>
      <c r="CJ315" s="22"/>
      <c r="CK315" s="22"/>
      <c r="CL315" s="22"/>
      <c r="CM315" s="22"/>
      <c r="CN315" s="22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</row>
    <row r="316" ht="14.25" customHeight="1">
      <c r="A316" s="28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8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8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8"/>
      <c r="BS316" s="22"/>
      <c r="BT316" s="22"/>
      <c r="BU316" s="22"/>
      <c r="BV316" s="22"/>
      <c r="BW316" s="22"/>
      <c r="BX316" s="22"/>
      <c r="BY316" s="22"/>
      <c r="BZ316" s="22"/>
      <c r="CA316" s="22"/>
      <c r="CB316" s="22"/>
      <c r="CC316" s="22"/>
      <c r="CD316" s="22"/>
      <c r="CE316" s="22"/>
      <c r="CF316" s="22"/>
      <c r="CG316" s="22"/>
      <c r="CH316" s="22"/>
      <c r="CI316" s="22"/>
      <c r="CJ316" s="22"/>
      <c r="CK316" s="22"/>
      <c r="CL316" s="22"/>
      <c r="CM316" s="22"/>
      <c r="CN316" s="22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  <c r="DF316" s="15"/>
      <c r="DG316" s="15"/>
      <c r="DH316" s="15"/>
    </row>
    <row r="317" ht="14.25" customHeight="1">
      <c r="A317" s="28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8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8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8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22"/>
      <c r="CD317" s="22"/>
      <c r="CE317" s="22"/>
      <c r="CF317" s="22"/>
      <c r="CG317" s="22"/>
      <c r="CH317" s="22"/>
      <c r="CI317" s="22"/>
      <c r="CJ317" s="22"/>
      <c r="CK317" s="22"/>
      <c r="CL317" s="22"/>
      <c r="CM317" s="22"/>
      <c r="CN317" s="22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</row>
    <row r="318" ht="14.25" customHeight="1">
      <c r="A318" s="28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8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8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8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  <c r="DF318" s="15"/>
      <c r="DG318" s="15"/>
      <c r="DH318" s="15"/>
    </row>
    <row r="319" ht="14.25" customHeight="1">
      <c r="A319" s="28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8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8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8"/>
      <c r="BS319" s="22"/>
      <c r="BT319" s="22"/>
      <c r="BU319" s="22"/>
      <c r="BV319" s="22"/>
      <c r="BW319" s="22"/>
      <c r="BX319" s="22"/>
      <c r="BY319" s="22"/>
      <c r="BZ319" s="22"/>
      <c r="CA319" s="22"/>
      <c r="CB319" s="22"/>
      <c r="CC319" s="22"/>
      <c r="CD319" s="22"/>
      <c r="CE319" s="22"/>
      <c r="CF319" s="22"/>
      <c r="CG319" s="22"/>
      <c r="CH319" s="22"/>
      <c r="CI319" s="22"/>
      <c r="CJ319" s="22"/>
      <c r="CK319" s="22"/>
      <c r="CL319" s="22"/>
      <c r="CM319" s="22"/>
      <c r="CN319" s="22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</row>
    <row r="320" ht="14.25" customHeight="1">
      <c r="A320" s="28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8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8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8"/>
      <c r="BS320" s="22"/>
      <c r="BT320" s="22"/>
      <c r="BU320" s="22"/>
      <c r="BV320" s="22"/>
      <c r="BW320" s="22"/>
      <c r="BX320" s="22"/>
      <c r="BY320" s="22"/>
      <c r="BZ320" s="22"/>
      <c r="CA320" s="22"/>
      <c r="CB320" s="22"/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  <c r="DE320" s="15"/>
      <c r="DF320" s="15"/>
      <c r="DG320" s="15"/>
      <c r="DH320" s="15"/>
    </row>
    <row r="321" ht="14.25" customHeight="1">
      <c r="A321" s="28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8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8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8"/>
      <c r="BS321" s="22"/>
      <c r="BT321" s="22"/>
      <c r="BU321" s="22"/>
      <c r="BV321" s="22"/>
      <c r="BW321" s="22"/>
      <c r="BX321" s="22"/>
      <c r="BY321" s="22"/>
      <c r="BZ321" s="22"/>
      <c r="CA321" s="22"/>
      <c r="CB321" s="22"/>
      <c r="CC321" s="22"/>
      <c r="CD321" s="22"/>
      <c r="CE321" s="22"/>
      <c r="CF321" s="22"/>
      <c r="CG321" s="22"/>
      <c r="CH321" s="22"/>
      <c r="CI321" s="22"/>
      <c r="CJ321" s="22"/>
      <c r="CK321" s="22"/>
      <c r="CL321" s="22"/>
      <c r="CM321" s="22"/>
      <c r="CN321" s="22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</row>
    <row r="322" ht="14.25" customHeight="1">
      <c r="A322" s="28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8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8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8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  <c r="CD322" s="22"/>
      <c r="CE322" s="22"/>
      <c r="CF322" s="22"/>
      <c r="CG322" s="22"/>
      <c r="CH322" s="22"/>
      <c r="CI322" s="22"/>
      <c r="CJ322" s="22"/>
      <c r="CK322" s="22"/>
      <c r="CL322" s="22"/>
      <c r="CM322" s="22"/>
      <c r="CN322" s="22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  <c r="DE322" s="15"/>
      <c r="DF322" s="15"/>
      <c r="DG322" s="15"/>
      <c r="DH322" s="15"/>
    </row>
    <row r="323" ht="14.25" customHeight="1">
      <c r="A323" s="28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8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8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8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22"/>
      <c r="CE323" s="22"/>
      <c r="CF323" s="22"/>
      <c r="CG323" s="22"/>
      <c r="CH323" s="22"/>
      <c r="CI323" s="22"/>
      <c r="CJ323" s="22"/>
      <c r="CK323" s="22"/>
      <c r="CL323" s="22"/>
      <c r="CM323" s="22"/>
      <c r="CN323" s="22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</row>
    <row r="324" ht="14.25" customHeight="1">
      <c r="A324" s="28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8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8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8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  <c r="CD324" s="22"/>
      <c r="CE324" s="22"/>
      <c r="CF324" s="22"/>
      <c r="CG324" s="22"/>
      <c r="CH324" s="22"/>
      <c r="CI324" s="22"/>
      <c r="CJ324" s="22"/>
      <c r="CK324" s="22"/>
      <c r="CL324" s="22"/>
      <c r="CM324" s="22"/>
      <c r="CN324" s="22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  <c r="DE324" s="15"/>
      <c r="DF324" s="15"/>
      <c r="DG324" s="15"/>
      <c r="DH324" s="15"/>
    </row>
    <row r="325" ht="14.25" customHeight="1">
      <c r="A325" s="28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8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8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8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22"/>
      <c r="CE325" s="22"/>
      <c r="CF325" s="22"/>
      <c r="CG325" s="22"/>
      <c r="CH325" s="22"/>
      <c r="CI325" s="22"/>
      <c r="CJ325" s="22"/>
      <c r="CK325" s="22"/>
      <c r="CL325" s="22"/>
      <c r="CM325" s="22"/>
      <c r="CN325" s="22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</row>
    <row r="326" ht="14.25" customHeight="1">
      <c r="A326" s="28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8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8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8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  <c r="CD326" s="22"/>
      <c r="CE326" s="22"/>
      <c r="CF326" s="22"/>
      <c r="CG326" s="22"/>
      <c r="CH326" s="22"/>
      <c r="CI326" s="22"/>
      <c r="CJ326" s="22"/>
      <c r="CK326" s="22"/>
      <c r="CL326" s="22"/>
      <c r="CM326" s="22"/>
      <c r="CN326" s="22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  <c r="DE326" s="15"/>
      <c r="DF326" s="15"/>
      <c r="DG326" s="15"/>
      <c r="DH326" s="15"/>
    </row>
    <row r="327" ht="14.25" customHeight="1">
      <c r="A327" s="28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8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8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8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D327" s="22"/>
      <c r="CE327" s="22"/>
      <c r="CF327" s="22"/>
      <c r="CG327" s="22"/>
      <c r="CH327" s="22"/>
      <c r="CI327" s="22"/>
      <c r="CJ327" s="22"/>
      <c r="CK327" s="22"/>
      <c r="CL327" s="22"/>
      <c r="CM327" s="22"/>
      <c r="CN327" s="22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</row>
    <row r="328" ht="14.25" customHeight="1">
      <c r="A328" s="28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8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8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8"/>
      <c r="BS328" s="22"/>
      <c r="BT328" s="22"/>
      <c r="BU328" s="22"/>
      <c r="BV328" s="22"/>
      <c r="BW328" s="22"/>
      <c r="BX328" s="22"/>
      <c r="BY328" s="22"/>
      <c r="BZ328" s="22"/>
      <c r="CA328" s="22"/>
      <c r="CB328" s="22"/>
      <c r="CC328" s="22"/>
      <c r="CD328" s="22"/>
      <c r="CE328" s="22"/>
      <c r="CF328" s="22"/>
      <c r="CG328" s="22"/>
      <c r="CH328" s="22"/>
      <c r="CI328" s="22"/>
      <c r="CJ328" s="22"/>
      <c r="CK328" s="22"/>
      <c r="CL328" s="22"/>
      <c r="CM328" s="22"/>
      <c r="CN328" s="22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  <c r="DE328" s="15"/>
      <c r="DF328" s="15"/>
      <c r="DG328" s="15"/>
      <c r="DH328" s="15"/>
    </row>
    <row r="329" ht="14.25" customHeight="1">
      <c r="A329" s="28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8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8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8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22"/>
      <c r="CE329" s="22"/>
      <c r="CF329" s="22"/>
      <c r="CG329" s="22"/>
      <c r="CH329" s="22"/>
      <c r="CI329" s="22"/>
      <c r="CJ329" s="22"/>
      <c r="CK329" s="22"/>
      <c r="CL329" s="22"/>
      <c r="CM329" s="22"/>
      <c r="CN329" s="22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</row>
    <row r="330" ht="14.25" customHeight="1">
      <c r="A330" s="28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8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8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8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  <c r="CD330" s="22"/>
      <c r="CE330" s="22"/>
      <c r="CF330" s="22"/>
      <c r="CG330" s="22"/>
      <c r="CH330" s="22"/>
      <c r="CI330" s="22"/>
      <c r="CJ330" s="22"/>
      <c r="CK330" s="22"/>
      <c r="CL330" s="22"/>
      <c r="CM330" s="22"/>
      <c r="CN330" s="22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  <c r="DE330" s="15"/>
      <c r="DF330" s="15"/>
      <c r="DG330" s="15"/>
      <c r="DH330" s="15"/>
    </row>
    <row r="331" ht="14.25" customHeight="1">
      <c r="A331" s="28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8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8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8"/>
      <c r="BS331" s="22"/>
      <c r="BT331" s="22"/>
      <c r="BU331" s="22"/>
      <c r="BV331" s="22"/>
      <c r="BW331" s="22"/>
      <c r="BX331" s="22"/>
      <c r="BY331" s="22"/>
      <c r="BZ331" s="22"/>
      <c r="CA331" s="22"/>
      <c r="CB331" s="22"/>
      <c r="CC331" s="22"/>
      <c r="CD331" s="22"/>
      <c r="CE331" s="22"/>
      <c r="CF331" s="22"/>
      <c r="CG331" s="22"/>
      <c r="CH331" s="22"/>
      <c r="CI331" s="22"/>
      <c r="CJ331" s="22"/>
      <c r="CK331" s="22"/>
      <c r="CL331" s="22"/>
      <c r="CM331" s="22"/>
      <c r="CN331" s="22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</row>
    <row r="332" ht="14.25" customHeight="1">
      <c r="A332" s="28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8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8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8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22"/>
      <c r="CD332" s="22"/>
      <c r="CE332" s="22"/>
      <c r="CF332" s="22"/>
      <c r="CG332" s="22"/>
      <c r="CH332" s="22"/>
      <c r="CI332" s="22"/>
      <c r="CJ332" s="22"/>
      <c r="CK332" s="22"/>
      <c r="CL332" s="22"/>
      <c r="CM332" s="22"/>
      <c r="CN332" s="22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5"/>
      <c r="DF332" s="15"/>
      <c r="DG332" s="15"/>
      <c r="DH332" s="15"/>
    </row>
    <row r="333" ht="14.25" customHeight="1">
      <c r="A333" s="28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8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8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8"/>
      <c r="BS333" s="22"/>
      <c r="BT333" s="22"/>
      <c r="BU333" s="22"/>
      <c r="BV333" s="22"/>
      <c r="BW333" s="22"/>
      <c r="BX333" s="22"/>
      <c r="BY333" s="22"/>
      <c r="BZ333" s="22"/>
      <c r="CA333" s="22"/>
      <c r="CB333" s="22"/>
      <c r="CC333" s="22"/>
      <c r="CD333" s="22"/>
      <c r="CE333" s="22"/>
      <c r="CF333" s="22"/>
      <c r="CG333" s="22"/>
      <c r="CH333" s="22"/>
      <c r="CI333" s="22"/>
      <c r="CJ333" s="22"/>
      <c r="CK333" s="22"/>
      <c r="CL333" s="22"/>
      <c r="CM333" s="22"/>
      <c r="CN333" s="22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</row>
    <row r="334" ht="14.25" customHeight="1">
      <c r="A334" s="28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8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8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8"/>
      <c r="BS334" s="22"/>
      <c r="BT334" s="22"/>
      <c r="BU334" s="22"/>
      <c r="BV334" s="22"/>
      <c r="BW334" s="22"/>
      <c r="BX334" s="22"/>
      <c r="BY334" s="22"/>
      <c r="BZ334" s="22"/>
      <c r="CA334" s="22"/>
      <c r="CB334" s="22"/>
      <c r="CC334" s="22"/>
      <c r="CD334" s="22"/>
      <c r="CE334" s="22"/>
      <c r="CF334" s="22"/>
      <c r="CG334" s="22"/>
      <c r="CH334" s="22"/>
      <c r="CI334" s="22"/>
      <c r="CJ334" s="22"/>
      <c r="CK334" s="22"/>
      <c r="CL334" s="22"/>
      <c r="CM334" s="22"/>
      <c r="CN334" s="22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  <c r="DE334" s="15"/>
      <c r="DF334" s="15"/>
      <c r="DG334" s="15"/>
      <c r="DH334" s="15"/>
    </row>
    <row r="335" ht="14.25" customHeight="1">
      <c r="A335" s="28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8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8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8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/>
      <c r="CN335" s="22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</row>
    <row r="336" ht="14.25" customHeight="1">
      <c r="A336" s="28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8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8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8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  <c r="CD336" s="22"/>
      <c r="CE336" s="22"/>
      <c r="CF336" s="22"/>
      <c r="CG336" s="22"/>
      <c r="CH336" s="22"/>
      <c r="CI336" s="22"/>
      <c r="CJ336" s="22"/>
      <c r="CK336" s="22"/>
      <c r="CL336" s="22"/>
      <c r="CM336" s="22"/>
      <c r="CN336" s="22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  <c r="DE336" s="15"/>
      <c r="DF336" s="15"/>
      <c r="DG336" s="15"/>
      <c r="DH336" s="15"/>
    </row>
    <row r="337" ht="14.25" customHeight="1">
      <c r="A337" s="28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8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8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8"/>
      <c r="BS337" s="22"/>
      <c r="BT337" s="22"/>
      <c r="BU337" s="22"/>
      <c r="BV337" s="22"/>
      <c r="BW337" s="22"/>
      <c r="BX337" s="22"/>
      <c r="BY337" s="22"/>
      <c r="BZ337" s="22"/>
      <c r="CA337" s="22"/>
      <c r="CB337" s="22"/>
      <c r="CC337" s="22"/>
      <c r="CD337" s="22"/>
      <c r="CE337" s="22"/>
      <c r="CF337" s="22"/>
      <c r="CG337" s="22"/>
      <c r="CH337" s="22"/>
      <c r="CI337" s="22"/>
      <c r="CJ337" s="22"/>
      <c r="CK337" s="22"/>
      <c r="CL337" s="22"/>
      <c r="CM337" s="22"/>
      <c r="CN337" s="22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</row>
    <row r="338" ht="14.25" customHeight="1">
      <c r="A338" s="35"/>
      <c r="B338" s="15"/>
      <c r="C338" s="35"/>
      <c r="D338" s="15"/>
      <c r="E338" s="15"/>
      <c r="F338" s="15"/>
      <c r="G338" s="15"/>
      <c r="H338" s="36"/>
      <c r="I338" s="36"/>
      <c r="J338" s="36"/>
      <c r="K338" s="36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34"/>
      <c r="BE338" s="15"/>
      <c r="BF338" s="15"/>
      <c r="BG338" s="15"/>
      <c r="BH338" s="15"/>
      <c r="BI338" s="15"/>
      <c r="BJ338" s="3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37"/>
      <c r="BW338" s="37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  <c r="DF338" s="15"/>
      <c r="DG338" s="15"/>
      <c r="DH338" s="15"/>
    </row>
    <row r="339" ht="14.25" customHeight="1">
      <c r="A339" s="35"/>
      <c r="B339" s="15"/>
      <c r="C339" s="35"/>
      <c r="D339" s="15"/>
      <c r="E339" s="15"/>
      <c r="F339" s="15"/>
      <c r="G339" s="15"/>
      <c r="H339" s="36"/>
      <c r="I339" s="36"/>
      <c r="J339" s="36"/>
      <c r="K339" s="36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34"/>
      <c r="BE339" s="15"/>
      <c r="BF339" s="15"/>
      <c r="BG339" s="15"/>
      <c r="BH339" s="15"/>
      <c r="BI339" s="15"/>
      <c r="BJ339" s="3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37"/>
      <c r="BW339" s="37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</row>
  </sheetData>
  <conditionalFormatting sqref="AH140:BI155 BX140:CN155 CO140:DH339 A338:CN339">
    <cfRule type="notContainsBlanks" dxfId="0" priority="1">
      <formula>LEN(TRIM(AH140))&gt;0</formula>
    </cfRule>
  </conditionalFormatting>
  <dataValidations>
    <dataValidation type="list" allowBlank="1" showErrorMessage="1" sqref="C3:C139">
      <formula1>"PreservedSpecimen,MaterialSample"</formula1>
    </dataValidation>
    <dataValidation type="list" allowBlank="1" showErrorMessage="1" sqref="D3:D139">
      <formula1>"Yes,No"</formula1>
    </dataValidation>
    <dataValidation type="list" allowBlank="1" showErrorMessage="1" sqref="AG3:AG139">
      <formula1>"Adult,Juvenile,Imago,Larve,Pupa,Other,Unknown"</formula1>
    </dataValidation>
    <dataValidation type="list" allowBlank="1" showErrorMessage="1" sqref="AF3:AF139">
      <formula1>"Female,Male,NA"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hidden="1" min="2" max="2" width="6.29"/>
    <col customWidth="1" min="3" max="3" width="12.86"/>
    <col customWidth="1" min="4" max="4" width="17.57"/>
    <col customWidth="1" hidden="1" min="5" max="5" width="35.43"/>
    <col customWidth="1" min="6" max="6" width="18.43"/>
    <col customWidth="1" hidden="1" min="7" max="7" width="21.57"/>
    <col customWidth="1" min="8" max="8" width="17.29"/>
    <col customWidth="1" hidden="1" min="9" max="9" width="12.86"/>
    <col customWidth="1" hidden="1" min="10" max="10" width="16.43"/>
    <col customWidth="1" hidden="1" min="11" max="11" width="22.71"/>
    <col customWidth="1" min="12" max="12" width="12.86"/>
    <col customWidth="1" hidden="1" min="13" max="13" width="10.43"/>
    <col customWidth="1" hidden="1" min="14" max="14" width="17.57"/>
    <col customWidth="1" min="15" max="15" width="13.57"/>
    <col customWidth="1" hidden="1" min="16" max="16" width="21.29"/>
    <col customWidth="1" hidden="1" min="17" max="17" width="12.0"/>
    <col customWidth="1" hidden="1" min="18" max="18" width="12.57"/>
    <col customWidth="1" hidden="1" min="19" max="19" width="20.43"/>
    <col customWidth="1" hidden="1" min="20" max="20" width="17.57"/>
    <col customWidth="1" hidden="1" min="21" max="21" width="11.43"/>
    <col customWidth="1" hidden="1" min="22" max="22" width="22.14"/>
    <col customWidth="1" min="23" max="23" width="13.43"/>
    <col customWidth="1" hidden="1" min="24" max="24" width="19.43"/>
    <col customWidth="1" hidden="1" min="25" max="25" width="18.0"/>
    <col customWidth="1" hidden="1" min="26" max="26" width="19.43"/>
    <col customWidth="1" hidden="1" min="27" max="27" width="23.14"/>
    <col customWidth="1" hidden="1" min="28" max="28" width="24.86"/>
    <col customWidth="1" hidden="1" min="29" max="29" width="31.71"/>
    <col customWidth="1" hidden="1" min="30" max="30" width="27.57"/>
    <col customWidth="1" hidden="1" min="31" max="31" width="31.43"/>
    <col customWidth="1" hidden="1" min="32" max="32" width="26.86"/>
    <col customWidth="1" hidden="1" min="33" max="33" width="23.57"/>
    <col customWidth="1" hidden="1" min="34" max="34" width="28.57"/>
    <col customWidth="1" hidden="1" min="35" max="35" width="28.71"/>
    <col customWidth="1" hidden="1" min="36" max="36" width="37.14"/>
    <col customWidth="1" min="37" max="37" width="13.43"/>
    <col customWidth="1" min="38" max="38" width="17.43"/>
    <col customWidth="1" hidden="1" min="39" max="39" width="29.43"/>
    <col customWidth="1" hidden="1" min="40" max="40" width="13.14"/>
    <col customWidth="1" hidden="1" min="41" max="41" width="22.86"/>
    <col customWidth="1" hidden="1" min="42" max="42" width="12.57"/>
    <col customWidth="1" hidden="1" min="43" max="43" width="23.86"/>
    <col customWidth="1" hidden="1" min="44" max="44" width="29.43"/>
    <col customWidth="1" hidden="1" min="45" max="45" width="13.14"/>
    <col customWidth="1" hidden="1" min="46" max="46" width="22.86"/>
    <col customWidth="1" hidden="1" min="47" max="47" width="12.57"/>
    <col customWidth="1" hidden="1" min="48" max="48" width="23.86"/>
    <col customWidth="1" hidden="1" min="49" max="49" width="29.43"/>
    <col customWidth="1" hidden="1" min="50" max="50" width="13.14"/>
    <col customWidth="1" hidden="1" min="51" max="51" width="22.86"/>
    <col customWidth="1" hidden="1" min="52" max="52" width="12.57"/>
    <col customWidth="1" hidden="1" min="53" max="53" width="23.86"/>
    <col customWidth="1" hidden="1" min="54" max="54" width="29.43"/>
    <col customWidth="1" hidden="1" min="55" max="55" width="13.14"/>
    <col customWidth="1" hidden="1" min="56" max="56" width="22.86"/>
    <col customWidth="1" hidden="1" min="57" max="57" width="12.57"/>
    <col customWidth="1" hidden="1" min="58" max="58" width="23.86"/>
    <col customWidth="1" min="59" max="59" width="16.57"/>
    <col customWidth="1" hidden="1" min="60" max="60" width="19.86"/>
    <col customWidth="1" hidden="1" min="61" max="61" width="18.43"/>
    <col customWidth="1" min="62" max="62" width="20.43"/>
    <col customWidth="1" min="63" max="63" width="19.57"/>
    <col customWidth="1" hidden="1" min="64" max="64" width="23.43"/>
    <col customWidth="1" min="65" max="65" width="20.14"/>
    <col customWidth="1" hidden="1" min="66" max="66" width="19.43"/>
    <col customWidth="1" hidden="1" min="67" max="67" width="9.86"/>
    <col customWidth="1" hidden="1" min="68" max="68" width="15.57"/>
    <col customWidth="1" hidden="1" min="69" max="69" width="6.57"/>
    <col customWidth="1" min="70" max="70" width="36.57"/>
    <col customWidth="1" min="71" max="71" width="20.14"/>
    <col customWidth="1" hidden="1" min="72" max="72" width="10.71"/>
    <col customWidth="1" hidden="1" min="73" max="73" width="11.86"/>
    <col customWidth="1" hidden="1" min="74" max="74" width="15.57"/>
    <col customWidth="1" hidden="1" min="75" max="75" width="10.14"/>
    <col customWidth="1" hidden="1" min="76" max="76" width="20.0"/>
    <col customWidth="1" hidden="1" min="77" max="77" width="18.43"/>
    <col customWidth="1" hidden="1" min="78" max="78" width="16.57"/>
    <col customWidth="1" hidden="1" min="79" max="79" width="31.57"/>
    <col customWidth="1" hidden="1" min="80" max="80" width="27.29"/>
    <col customWidth="1" hidden="1" min="81" max="81" width="22.14"/>
    <col customWidth="1" min="82" max="82" width="16.14"/>
    <col customWidth="1" hidden="1" min="83" max="83" width="21.86"/>
    <col customWidth="1" min="84" max="84" width="26.14"/>
    <col customWidth="1" min="85" max="85" width="28.14"/>
    <col customWidth="1" hidden="1" min="86" max="86" width="51.0"/>
    <col customWidth="1" min="87" max="87" width="34.14"/>
    <col customWidth="1" hidden="1" min="88" max="88" width="37.14"/>
    <col customWidth="1" hidden="1" min="89" max="89" width="36.86"/>
    <col customWidth="1" hidden="1" min="90" max="90" width="24.14"/>
    <col customWidth="1" hidden="1" min="91" max="91" width="22.71"/>
    <col customWidth="1" hidden="1" min="92" max="92" width="16.43"/>
    <col customWidth="1" min="93" max="93" width="17.71"/>
    <col customWidth="1" hidden="1" min="94" max="94" width="22.14"/>
    <col customWidth="1" hidden="1" min="95" max="95" width="26.86"/>
    <col customWidth="1" hidden="1" min="96" max="96" width="28.14"/>
    <col customWidth="1" hidden="1" min="97" max="97" width="31.57"/>
    <col customWidth="1" hidden="1" min="98" max="98" width="43.14"/>
    <col customWidth="1" hidden="1" min="99" max="99" width="21.0"/>
    <col customWidth="1" hidden="1" min="100" max="100" width="36.29"/>
    <col customWidth="1" hidden="1" min="101" max="101" width="21.0"/>
    <col customWidth="1" hidden="1" min="102" max="102" width="36.29"/>
    <col customWidth="1" min="103" max="103" width="13.43"/>
    <col customWidth="1" min="104" max="104" width="12.86"/>
    <col customWidth="1" min="105" max="124" width="8.71"/>
  </cols>
  <sheetData>
    <row r="1" ht="14.25" hidden="1" customHeight="1">
      <c r="A1" s="2" t="s">
        <v>0</v>
      </c>
      <c r="B1" s="3" t="s">
        <v>1</v>
      </c>
      <c r="C1" s="2" t="s">
        <v>3</v>
      </c>
      <c r="D1" s="2" t="s">
        <v>5</v>
      </c>
      <c r="E1" s="4" t="s">
        <v>2</v>
      </c>
      <c r="F1" s="2" t="s">
        <v>6</v>
      </c>
      <c r="G1" s="4" t="s">
        <v>4</v>
      </c>
      <c r="H1" s="2" t="s">
        <v>8</v>
      </c>
      <c r="I1" s="5" t="s">
        <v>7</v>
      </c>
      <c r="J1" s="6" t="s">
        <v>9</v>
      </c>
      <c r="K1" s="6" t="s">
        <v>10</v>
      </c>
      <c r="L1" s="2" t="s">
        <v>11</v>
      </c>
      <c r="M1" s="3" t="s">
        <v>12</v>
      </c>
      <c r="N1" s="6" t="s">
        <v>13</v>
      </c>
      <c r="O1" s="2" t="s">
        <v>14</v>
      </c>
      <c r="P1" s="6" t="s">
        <v>15</v>
      </c>
      <c r="Q1" s="3" t="s">
        <v>16</v>
      </c>
      <c r="R1" s="8" t="s">
        <v>17</v>
      </c>
      <c r="S1" s="8" t="s">
        <v>18</v>
      </c>
      <c r="T1" s="8" t="s">
        <v>19</v>
      </c>
      <c r="U1" s="3" t="s">
        <v>20</v>
      </c>
      <c r="V1" s="3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3" t="s">
        <v>35</v>
      </c>
      <c r="AK1" s="2" t="s">
        <v>36</v>
      </c>
      <c r="AL1" s="2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4" t="s">
        <v>58</v>
      </c>
      <c r="BH1" s="3" t="s">
        <v>59</v>
      </c>
      <c r="BI1" s="3" t="s">
        <v>60</v>
      </c>
      <c r="BJ1" s="2" t="s">
        <v>61</v>
      </c>
      <c r="BK1" s="2" t="s">
        <v>62</v>
      </c>
      <c r="BL1" s="9" t="s">
        <v>63</v>
      </c>
      <c r="BM1" s="2" t="s">
        <v>64</v>
      </c>
      <c r="BN1" s="2" t="s">
        <v>65</v>
      </c>
      <c r="BO1" s="4" t="s">
        <v>66</v>
      </c>
      <c r="BP1" s="3" t="s">
        <v>67</v>
      </c>
      <c r="BQ1" s="3" t="s">
        <v>68</v>
      </c>
      <c r="BR1" s="11" t="s">
        <v>69</v>
      </c>
      <c r="BS1" s="2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6" t="s">
        <v>80</v>
      </c>
      <c r="CD1" s="2" t="s">
        <v>81</v>
      </c>
      <c r="CE1" s="4" t="s">
        <v>82</v>
      </c>
      <c r="CF1" s="2" t="s">
        <v>83</v>
      </c>
      <c r="CG1" s="2" t="s">
        <v>84</v>
      </c>
      <c r="CH1" s="3" t="s">
        <v>85</v>
      </c>
      <c r="CI1" s="2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4" t="s">
        <v>91</v>
      </c>
      <c r="CO1" s="2" t="s">
        <v>92</v>
      </c>
      <c r="CP1" s="6" t="s">
        <v>93</v>
      </c>
      <c r="CQ1" s="3" t="s">
        <v>94</v>
      </c>
      <c r="CR1" s="3" t="s">
        <v>95</v>
      </c>
      <c r="CS1" s="3" t="s">
        <v>96</v>
      </c>
      <c r="CT1" s="2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</row>
    <row r="2" ht="60.0" customHeight="1">
      <c r="A2" s="17" t="s">
        <v>102</v>
      </c>
      <c r="B2" s="3" t="s">
        <v>1</v>
      </c>
      <c r="C2" s="18" t="s">
        <v>103</v>
      </c>
      <c r="D2" s="18" t="s">
        <v>104</v>
      </c>
      <c r="E2" s="19" t="s">
        <v>105</v>
      </c>
      <c r="F2" s="18" t="s">
        <v>106</v>
      </c>
      <c r="G2" s="20" t="s">
        <v>4</v>
      </c>
      <c r="H2" s="18" t="s">
        <v>107</v>
      </c>
      <c r="I2" s="5" t="s">
        <v>7</v>
      </c>
      <c r="J2" s="6" t="s">
        <v>9</v>
      </c>
      <c r="K2" s="6" t="s">
        <v>10</v>
      </c>
      <c r="L2" s="18" t="s">
        <v>108</v>
      </c>
      <c r="M2" s="3" t="s">
        <v>12</v>
      </c>
      <c r="N2" s="6" t="s">
        <v>13</v>
      </c>
      <c r="O2" s="18" t="s">
        <v>109</v>
      </c>
      <c r="P2" s="6" t="s">
        <v>15</v>
      </c>
      <c r="Q2" s="3" t="s">
        <v>16</v>
      </c>
      <c r="R2" s="8" t="s">
        <v>17</v>
      </c>
      <c r="S2" s="8" t="s">
        <v>18</v>
      </c>
      <c r="T2" s="8" t="s">
        <v>19</v>
      </c>
      <c r="U2" s="3" t="s">
        <v>20</v>
      </c>
      <c r="V2" s="3" t="s">
        <v>21</v>
      </c>
      <c r="W2" s="18" t="s">
        <v>111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4" t="s">
        <v>34</v>
      </c>
      <c r="AJ2" s="3" t="s">
        <v>35</v>
      </c>
      <c r="AK2" s="18" t="s">
        <v>114</v>
      </c>
      <c r="AL2" s="18" t="s">
        <v>115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18" t="s">
        <v>118</v>
      </c>
      <c r="BH2" s="3" t="s">
        <v>59</v>
      </c>
      <c r="BI2" s="3" t="s">
        <v>60</v>
      </c>
      <c r="BJ2" s="3" t="s">
        <v>119</v>
      </c>
      <c r="BK2" s="18" t="s">
        <v>120</v>
      </c>
      <c r="BL2" s="9" t="s">
        <v>63</v>
      </c>
      <c r="BM2" s="18" t="s">
        <v>121</v>
      </c>
      <c r="BN2" s="2" t="s">
        <v>65</v>
      </c>
      <c r="BO2" s="4" t="s">
        <v>66</v>
      </c>
      <c r="BP2" s="3" t="s">
        <v>67</v>
      </c>
      <c r="BQ2" s="3" t="s">
        <v>68</v>
      </c>
      <c r="BR2" s="18" t="s">
        <v>123</v>
      </c>
      <c r="BS2" s="18" t="s">
        <v>124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6" t="s">
        <v>80</v>
      </c>
      <c r="CD2" s="18" t="s">
        <v>126</v>
      </c>
      <c r="CE2" s="4" t="s">
        <v>82</v>
      </c>
      <c r="CF2" s="18" t="s">
        <v>127</v>
      </c>
      <c r="CG2" s="18" t="s">
        <v>128</v>
      </c>
      <c r="CH2" s="3" t="s">
        <v>85</v>
      </c>
      <c r="CI2" s="18" t="s">
        <v>130</v>
      </c>
      <c r="CJ2" s="3" t="s">
        <v>87</v>
      </c>
      <c r="CK2" s="3" t="s">
        <v>88</v>
      </c>
      <c r="CL2" s="3" t="s">
        <v>89</v>
      </c>
      <c r="CM2" s="3" t="s">
        <v>90</v>
      </c>
      <c r="CN2" s="4" t="s">
        <v>91</v>
      </c>
      <c r="CO2" s="18" t="s">
        <v>133</v>
      </c>
      <c r="CP2" s="6" t="s">
        <v>93</v>
      </c>
      <c r="CQ2" s="3" t="s">
        <v>94</v>
      </c>
      <c r="CR2" s="3" t="s">
        <v>95</v>
      </c>
      <c r="CS2" s="3" t="s">
        <v>96</v>
      </c>
      <c r="CT2" s="2" t="s">
        <v>97</v>
      </c>
      <c r="CU2" s="5" t="s">
        <v>98</v>
      </c>
      <c r="CV2" s="5" t="s">
        <v>99</v>
      </c>
      <c r="CW2" s="5" t="s">
        <v>100</v>
      </c>
      <c r="CX2" s="5" t="s">
        <v>101</v>
      </c>
      <c r="CY2" s="18" t="s">
        <v>135</v>
      </c>
      <c r="CZ2" s="18" t="s">
        <v>136</v>
      </c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</row>
    <row r="3" ht="14.25" customHeight="1">
      <c r="A3" s="15" t="s">
        <v>138</v>
      </c>
      <c r="B3" s="15"/>
      <c r="C3" s="15" t="s">
        <v>140</v>
      </c>
      <c r="D3" s="15" t="s">
        <v>142</v>
      </c>
      <c r="E3" s="15" t="s">
        <v>139</v>
      </c>
      <c r="F3" s="15" t="s">
        <v>144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>
        <v>1.0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30"/>
      <c r="BK3" s="30"/>
      <c r="BL3" s="30" t="str">
        <f t="shared" ref="BL3:BL150" si="1">BJ3</f>
        <v/>
      </c>
      <c r="BM3" s="31"/>
      <c r="BN3" s="31" t="str">
        <f t="shared" ref="BN3:BN150" si="2">BM3</f>
        <v/>
      </c>
      <c r="BO3" s="15" t="s">
        <v>147</v>
      </c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 t="str">
        <f t="shared" ref="CE3:CE150" si="3">CF3&amp;" "&amp;CG3</f>
        <v> </v>
      </c>
      <c r="CF3" s="33"/>
      <c r="CG3" s="33"/>
      <c r="CH3" s="15"/>
      <c r="CI3" s="22"/>
      <c r="CJ3" s="15"/>
      <c r="CK3" s="15"/>
      <c r="CL3" s="15"/>
      <c r="CM3" s="15"/>
      <c r="CN3" s="30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</row>
    <row r="4" ht="14.25" customHeight="1">
      <c r="A4" s="15"/>
      <c r="B4" s="15"/>
      <c r="C4" s="15" t="s">
        <v>140</v>
      </c>
      <c r="D4" s="15" t="s">
        <v>142</v>
      </c>
      <c r="E4" s="15" t="s">
        <v>139</v>
      </c>
      <c r="F4" s="15" t="s">
        <v>144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>
        <v>1.0</v>
      </c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30"/>
      <c r="BK4" s="30"/>
      <c r="BL4" s="30" t="str">
        <f t="shared" si="1"/>
        <v/>
      </c>
      <c r="BM4" s="31"/>
      <c r="BN4" s="31" t="str">
        <f t="shared" si="2"/>
        <v/>
      </c>
      <c r="BO4" s="15" t="s">
        <v>147</v>
      </c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 t="str">
        <f t="shared" si="3"/>
        <v> </v>
      </c>
      <c r="CF4" s="33"/>
      <c r="CG4" s="33"/>
      <c r="CH4" s="15"/>
      <c r="CI4" s="22"/>
      <c r="CJ4" s="15"/>
      <c r="CK4" s="15"/>
      <c r="CL4" s="15"/>
      <c r="CM4" s="15"/>
      <c r="CN4" s="30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</row>
    <row r="5" ht="14.25" customHeight="1">
      <c r="A5" s="15"/>
      <c r="B5" s="15"/>
      <c r="C5" s="15" t="s">
        <v>140</v>
      </c>
      <c r="D5" s="15" t="s">
        <v>142</v>
      </c>
      <c r="E5" s="15" t="s">
        <v>139</v>
      </c>
      <c r="F5" s="15" t="s">
        <v>144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>
        <v>1.0</v>
      </c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30"/>
      <c r="BK5" s="30"/>
      <c r="BL5" s="30" t="str">
        <f t="shared" si="1"/>
        <v/>
      </c>
      <c r="BM5" s="31"/>
      <c r="BN5" s="31" t="str">
        <f t="shared" si="2"/>
        <v/>
      </c>
      <c r="BO5" s="15" t="s">
        <v>147</v>
      </c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 t="str">
        <f t="shared" si="3"/>
        <v> </v>
      </c>
      <c r="CF5" s="33"/>
      <c r="CG5" s="33"/>
      <c r="CH5" s="15"/>
      <c r="CI5" s="22"/>
      <c r="CJ5" s="15"/>
      <c r="CK5" s="15"/>
      <c r="CL5" s="15"/>
      <c r="CM5" s="15"/>
      <c r="CN5" s="30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</row>
    <row r="6" ht="14.25" customHeight="1">
      <c r="A6" s="15"/>
      <c r="B6" s="15"/>
      <c r="C6" s="15" t="s">
        <v>140</v>
      </c>
      <c r="D6" s="15" t="s">
        <v>142</v>
      </c>
      <c r="E6" s="15" t="s">
        <v>139</v>
      </c>
      <c r="F6" s="15" t="s">
        <v>144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>
        <v>1.0</v>
      </c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30"/>
      <c r="BK6" s="30"/>
      <c r="BL6" s="30" t="str">
        <f t="shared" si="1"/>
        <v/>
      </c>
      <c r="BM6" s="31"/>
      <c r="BN6" s="31" t="str">
        <f t="shared" si="2"/>
        <v/>
      </c>
      <c r="BO6" s="15" t="s">
        <v>147</v>
      </c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 t="str">
        <f t="shared" si="3"/>
        <v> </v>
      </c>
      <c r="CF6" s="33"/>
      <c r="CG6" s="33"/>
      <c r="CH6" s="15"/>
      <c r="CI6" s="22"/>
      <c r="CJ6" s="15"/>
      <c r="CK6" s="15"/>
      <c r="CL6" s="15"/>
      <c r="CM6" s="15"/>
      <c r="CN6" s="30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</row>
    <row r="7" ht="14.25" customHeight="1">
      <c r="A7" s="15"/>
      <c r="B7" s="15"/>
      <c r="C7" s="15" t="s">
        <v>140</v>
      </c>
      <c r="D7" s="15" t="s">
        <v>142</v>
      </c>
      <c r="E7" s="15" t="s">
        <v>139</v>
      </c>
      <c r="F7" s="15" t="s">
        <v>144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>
        <v>1.0</v>
      </c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30"/>
      <c r="BK7" s="30"/>
      <c r="BL7" s="30" t="str">
        <f t="shared" si="1"/>
        <v/>
      </c>
      <c r="BM7" s="31"/>
      <c r="BN7" s="31" t="str">
        <f t="shared" si="2"/>
        <v/>
      </c>
      <c r="BO7" s="15" t="s">
        <v>147</v>
      </c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 t="str">
        <f t="shared" si="3"/>
        <v> </v>
      </c>
      <c r="CF7" s="33"/>
      <c r="CG7" s="33"/>
      <c r="CH7" s="15"/>
      <c r="CI7" s="22"/>
      <c r="CJ7" s="15"/>
      <c r="CK7" s="15"/>
      <c r="CL7" s="15"/>
      <c r="CM7" s="15"/>
      <c r="CN7" s="30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</row>
    <row r="8" ht="14.25" customHeight="1">
      <c r="A8" s="15"/>
      <c r="B8" s="15"/>
      <c r="C8" s="15" t="s">
        <v>140</v>
      </c>
      <c r="D8" s="15" t="s">
        <v>142</v>
      </c>
      <c r="E8" s="15" t="s">
        <v>139</v>
      </c>
      <c r="F8" s="15" t="s">
        <v>144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>
        <v>1.0</v>
      </c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30"/>
      <c r="BK8" s="30"/>
      <c r="BL8" s="30" t="str">
        <f t="shared" si="1"/>
        <v/>
      </c>
      <c r="BM8" s="31"/>
      <c r="BN8" s="31" t="str">
        <f t="shared" si="2"/>
        <v/>
      </c>
      <c r="BO8" s="15" t="s">
        <v>147</v>
      </c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 t="str">
        <f t="shared" si="3"/>
        <v> </v>
      </c>
      <c r="CF8" s="33"/>
      <c r="CG8" s="33"/>
      <c r="CH8" s="15"/>
      <c r="CI8" s="22"/>
      <c r="CJ8" s="15"/>
      <c r="CK8" s="15"/>
      <c r="CL8" s="15"/>
      <c r="CM8" s="15"/>
      <c r="CN8" s="30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</row>
    <row r="9" ht="14.25" customHeight="1">
      <c r="A9" s="15"/>
      <c r="B9" s="15"/>
      <c r="C9" s="15" t="s">
        <v>140</v>
      </c>
      <c r="D9" s="15" t="s">
        <v>142</v>
      </c>
      <c r="E9" s="15" t="s">
        <v>139</v>
      </c>
      <c r="F9" s="15" t="s">
        <v>144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>
        <v>1.0</v>
      </c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30"/>
      <c r="BK9" s="30"/>
      <c r="BL9" s="30" t="str">
        <f t="shared" si="1"/>
        <v/>
      </c>
      <c r="BM9" s="31"/>
      <c r="BN9" s="31" t="str">
        <f t="shared" si="2"/>
        <v/>
      </c>
      <c r="BO9" s="15" t="s">
        <v>147</v>
      </c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 t="str">
        <f t="shared" si="3"/>
        <v> </v>
      </c>
      <c r="CF9" s="33"/>
      <c r="CG9" s="33"/>
      <c r="CH9" s="15"/>
      <c r="CI9" s="22"/>
      <c r="CJ9" s="15"/>
      <c r="CK9" s="15"/>
      <c r="CL9" s="15"/>
      <c r="CM9" s="15"/>
      <c r="CN9" s="30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</row>
    <row r="10" ht="14.25" customHeight="1">
      <c r="A10" s="15"/>
      <c r="B10" s="15"/>
      <c r="C10" s="15" t="s">
        <v>140</v>
      </c>
      <c r="D10" s="15" t="s">
        <v>142</v>
      </c>
      <c r="E10" s="15" t="s">
        <v>139</v>
      </c>
      <c r="F10" s="15" t="s">
        <v>144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>
        <v>1.0</v>
      </c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30"/>
      <c r="BK10" s="30"/>
      <c r="BL10" s="30" t="str">
        <f t="shared" si="1"/>
        <v/>
      </c>
      <c r="BM10" s="31"/>
      <c r="BN10" s="31" t="str">
        <f t="shared" si="2"/>
        <v/>
      </c>
      <c r="BO10" s="15" t="s">
        <v>147</v>
      </c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 t="str">
        <f t="shared" si="3"/>
        <v> </v>
      </c>
      <c r="CF10" s="33"/>
      <c r="CG10" s="33"/>
      <c r="CH10" s="15"/>
      <c r="CI10" s="22"/>
      <c r="CJ10" s="15"/>
      <c r="CK10" s="15"/>
      <c r="CL10" s="15"/>
      <c r="CM10" s="15"/>
      <c r="CN10" s="30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</row>
    <row r="11" ht="14.25" customHeight="1">
      <c r="A11" s="15"/>
      <c r="B11" s="15"/>
      <c r="C11" s="15" t="s">
        <v>140</v>
      </c>
      <c r="D11" s="15" t="s">
        <v>142</v>
      </c>
      <c r="E11" s="15" t="s">
        <v>139</v>
      </c>
      <c r="F11" s="15" t="s">
        <v>144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>
        <v>1.0</v>
      </c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30"/>
      <c r="BK11" s="30"/>
      <c r="BL11" s="30" t="str">
        <f t="shared" si="1"/>
        <v/>
      </c>
      <c r="BM11" s="31"/>
      <c r="BN11" s="31" t="str">
        <f t="shared" si="2"/>
        <v/>
      </c>
      <c r="BO11" s="15" t="s">
        <v>147</v>
      </c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 t="str">
        <f t="shared" si="3"/>
        <v> </v>
      </c>
      <c r="CF11" s="33"/>
      <c r="CG11" s="33"/>
      <c r="CH11" s="15"/>
      <c r="CI11" s="22"/>
      <c r="CJ11" s="15"/>
      <c r="CK11" s="15"/>
      <c r="CL11" s="15"/>
      <c r="CM11" s="15"/>
      <c r="CN11" s="30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</row>
    <row r="12" ht="14.25" customHeight="1">
      <c r="A12" s="15"/>
      <c r="B12" s="15"/>
      <c r="C12" s="15" t="s">
        <v>140</v>
      </c>
      <c r="D12" s="15" t="s">
        <v>142</v>
      </c>
      <c r="E12" s="15" t="s">
        <v>139</v>
      </c>
      <c r="F12" s="15" t="s">
        <v>144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>
        <v>1.0</v>
      </c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30"/>
      <c r="BK12" s="30"/>
      <c r="BL12" s="30" t="str">
        <f t="shared" si="1"/>
        <v/>
      </c>
      <c r="BM12" s="31"/>
      <c r="BN12" s="31" t="str">
        <f t="shared" si="2"/>
        <v/>
      </c>
      <c r="BO12" s="15" t="s">
        <v>147</v>
      </c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 t="str">
        <f t="shared" si="3"/>
        <v> </v>
      </c>
      <c r="CF12" s="33"/>
      <c r="CG12" s="33"/>
      <c r="CH12" s="15"/>
      <c r="CI12" s="22"/>
      <c r="CJ12" s="15"/>
      <c r="CK12" s="15"/>
      <c r="CL12" s="15"/>
      <c r="CM12" s="15"/>
      <c r="CN12" s="30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</row>
    <row r="13" ht="14.25" customHeight="1">
      <c r="A13" s="15"/>
      <c r="B13" s="15"/>
      <c r="C13" s="15" t="s">
        <v>140</v>
      </c>
      <c r="D13" s="15" t="s">
        <v>142</v>
      </c>
      <c r="E13" s="15" t="s">
        <v>139</v>
      </c>
      <c r="F13" s="15" t="s">
        <v>144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>
        <v>1.0</v>
      </c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30"/>
      <c r="BK13" s="30"/>
      <c r="BL13" s="30" t="str">
        <f t="shared" si="1"/>
        <v/>
      </c>
      <c r="BM13" s="31"/>
      <c r="BN13" s="31" t="str">
        <f t="shared" si="2"/>
        <v/>
      </c>
      <c r="BO13" s="15" t="s">
        <v>147</v>
      </c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 t="str">
        <f t="shared" si="3"/>
        <v> </v>
      </c>
      <c r="CF13" s="33"/>
      <c r="CG13" s="33"/>
      <c r="CH13" s="15"/>
      <c r="CI13" s="22"/>
      <c r="CJ13" s="15"/>
      <c r="CK13" s="15"/>
      <c r="CL13" s="15"/>
      <c r="CM13" s="15"/>
      <c r="CN13" s="30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</row>
    <row r="14" ht="14.25" customHeight="1">
      <c r="A14" s="15"/>
      <c r="B14" s="15"/>
      <c r="C14" s="15" t="s">
        <v>140</v>
      </c>
      <c r="D14" s="15" t="s">
        <v>142</v>
      </c>
      <c r="E14" s="15" t="s">
        <v>139</v>
      </c>
      <c r="F14" s="15" t="s">
        <v>144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>
        <v>1.0</v>
      </c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30"/>
      <c r="BK14" s="30"/>
      <c r="BL14" s="30" t="str">
        <f t="shared" si="1"/>
        <v/>
      </c>
      <c r="BM14" s="31"/>
      <c r="BN14" s="31" t="str">
        <f t="shared" si="2"/>
        <v/>
      </c>
      <c r="BO14" s="15" t="s">
        <v>147</v>
      </c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 t="str">
        <f t="shared" si="3"/>
        <v> </v>
      </c>
      <c r="CF14" s="33"/>
      <c r="CG14" s="33"/>
      <c r="CH14" s="15"/>
      <c r="CI14" s="22"/>
      <c r="CJ14" s="15"/>
      <c r="CK14" s="15"/>
      <c r="CL14" s="15"/>
      <c r="CM14" s="15"/>
      <c r="CN14" s="30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</row>
    <row r="15" ht="14.25" customHeight="1">
      <c r="A15" s="15"/>
      <c r="B15" s="15"/>
      <c r="C15" s="15" t="s">
        <v>140</v>
      </c>
      <c r="D15" s="15" t="s">
        <v>142</v>
      </c>
      <c r="E15" s="15" t="s">
        <v>139</v>
      </c>
      <c r="F15" s="15" t="s">
        <v>144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>
        <v>1.0</v>
      </c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30"/>
      <c r="BK15" s="30"/>
      <c r="BL15" s="30" t="str">
        <f t="shared" si="1"/>
        <v/>
      </c>
      <c r="BM15" s="31"/>
      <c r="BN15" s="31" t="str">
        <f t="shared" si="2"/>
        <v/>
      </c>
      <c r="BO15" s="15" t="s">
        <v>147</v>
      </c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 t="str">
        <f t="shared" si="3"/>
        <v> </v>
      </c>
      <c r="CF15" s="33"/>
      <c r="CG15" s="33"/>
      <c r="CH15" s="15"/>
      <c r="CI15" s="22"/>
      <c r="CJ15" s="15"/>
      <c r="CK15" s="15"/>
      <c r="CL15" s="15"/>
      <c r="CM15" s="15"/>
      <c r="CN15" s="30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</row>
    <row r="16" ht="14.25" customHeight="1">
      <c r="A16" s="15"/>
      <c r="B16" s="15"/>
      <c r="C16" s="15" t="s">
        <v>140</v>
      </c>
      <c r="D16" s="15" t="s">
        <v>142</v>
      </c>
      <c r="E16" s="15" t="s">
        <v>139</v>
      </c>
      <c r="F16" s="15" t="s">
        <v>144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>
        <v>1.0</v>
      </c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30"/>
      <c r="BK16" s="30"/>
      <c r="BL16" s="30" t="str">
        <f t="shared" si="1"/>
        <v/>
      </c>
      <c r="BM16" s="31"/>
      <c r="BN16" s="31" t="str">
        <f t="shared" si="2"/>
        <v/>
      </c>
      <c r="BO16" s="15" t="s">
        <v>147</v>
      </c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 t="str">
        <f t="shared" si="3"/>
        <v> </v>
      </c>
      <c r="CF16" s="33"/>
      <c r="CG16" s="33"/>
      <c r="CH16" s="15"/>
      <c r="CI16" s="22"/>
      <c r="CJ16" s="15"/>
      <c r="CK16" s="15"/>
      <c r="CL16" s="15"/>
      <c r="CM16" s="15"/>
      <c r="CN16" s="30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</row>
    <row r="17" ht="14.25" customHeight="1">
      <c r="A17" s="15"/>
      <c r="B17" s="15"/>
      <c r="C17" s="15" t="s">
        <v>140</v>
      </c>
      <c r="D17" s="15" t="s">
        <v>142</v>
      </c>
      <c r="E17" s="15" t="s">
        <v>139</v>
      </c>
      <c r="F17" s="15" t="s">
        <v>144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>
        <v>1.0</v>
      </c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30"/>
      <c r="BK17" s="30"/>
      <c r="BL17" s="30" t="str">
        <f t="shared" si="1"/>
        <v/>
      </c>
      <c r="BM17" s="31"/>
      <c r="BN17" s="31" t="str">
        <f t="shared" si="2"/>
        <v/>
      </c>
      <c r="BO17" s="15" t="s">
        <v>147</v>
      </c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 t="str">
        <f t="shared" si="3"/>
        <v> </v>
      </c>
      <c r="CF17" s="33"/>
      <c r="CG17" s="33"/>
      <c r="CH17" s="15"/>
      <c r="CI17" s="22"/>
      <c r="CJ17" s="15"/>
      <c r="CK17" s="15"/>
      <c r="CL17" s="15"/>
      <c r="CM17" s="15"/>
      <c r="CN17" s="30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</row>
    <row r="18" ht="14.25" customHeight="1">
      <c r="A18" s="15"/>
      <c r="B18" s="15"/>
      <c r="C18" s="15" t="s">
        <v>140</v>
      </c>
      <c r="D18" s="15" t="s">
        <v>142</v>
      </c>
      <c r="E18" s="15" t="s">
        <v>139</v>
      </c>
      <c r="F18" s="15" t="s">
        <v>144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>
        <v>1.0</v>
      </c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30"/>
      <c r="BK18" s="30"/>
      <c r="BL18" s="30" t="str">
        <f t="shared" si="1"/>
        <v/>
      </c>
      <c r="BM18" s="31"/>
      <c r="BN18" s="31" t="str">
        <f t="shared" si="2"/>
        <v/>
      </c>
      <c r="BO18" s="15" t="s">
        <v>147</v>
      </c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 t="str">
        <f t="shared" si="3"/>
        <v> </v>
      </c>
      <c r="CF18" s="33"/>
      <c r="CG18" s="33"/>
      <c r="CH18" s="15"/>
      <c r="CI18" s="22"/>
      <c r="CJ18" s="15"/>
      <c r="CK18" s="15"/>
      <c r="CL18" s="15"/>
      <c r="CM18" s="15"/>
      <c r="CN18" s="30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</row>
    <row r="19" ht="14.25" customHeight="1">
      <c r="A19" s="15"/>
      <c r="B19" s="15"/>
      <c r="C19" s="15" t="s">
        <v>140</v>
      </c>
      <c r="D19" s="15" t="s">
        <v>142</v>
      </c>
      <c r="E19" s="15" t="s">
        <v>139</v>
      </c>
      <c r="F19" s="15" t="s">
        <v>144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>
        <v>1.0</v>
      </c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30"/>
      <c r="BK19" s="30"/>
      <c r="BL19" s="30" t="str">
        <f t="shared" si="1"/>
        <v/>
      </c>
      <c r="BM19" s="31"/>
      <c r="BN19" s="31" t="str">
        <f t="shared" si="2"/>
        <v/>
      </c>
      <c r="BO19" s="15" t="s">
        <v>147</v>
      </c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 t="str">
        <f t="shared" si="3"/>
        <v> </v>
      </c>
      <c r="CF19" s="33"/>
      <c r="CG19" s="33"/>
      <c r="CH19" s="15"/>
      <c r="CI19" s="22"/>
      <c r="CJ19" s="15"/>
      <c r="CK19" s="15"/>
      <c r="CL19" s="15"/>
      <c r="CM19" s="15"/>
      <c r="CN19" s="30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</row>
    <row r="20" ht="14.25" customHeight="1">
      <c r="A20" s="15"/>
      <c r="B20" s="15"/>
      <c r="C20" s="15" t="s">
        <v>140</v>
      </c>
      <c r="D20" s="15" t="s">
        <v>142</v>
      </c>
      <c r="E20" s="15" t="s">
        <v>139</v>
      </c>
      <c r="F20" s="15" t="s">
        <v>144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>
        <v>1.0</v>
      </c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30"/>
      <c r="BK20" s="30"/>
      <c r="BL20" s="30" t="str">
        <f t="shared" si="1"/>
        <v/>
      </c>
      <c r="BM20" s="31"/>
      <c r="BN20" s="31" t="str">
        <f t="shared" si="2"/>
        <v/>
      </c>
      <c r="BO20" s="15" t="s">
        <v>147</v>
      </c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 t="str">
        <f t="shared" si="3"/>
        <v> </v>
      </c>
      <c r="CF20" s="33"/>
      <c r="CG20" s="33"/>
      <c r="CH20" s="15"/>
      <c r="CI20" s="22"/>
      <c r="CJ20" s="15"/>
      <c r="CK20" s="15"/>
      <c r="CL20" s="15"/>
      <c r="CM20" s="15"/>
      <c r="CN20" s="30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</row>
    <row r="21" ht="14.25" customHeight="1">
      <c r="A21" s="15"/>
      <c r="B21" s="15"/>
      <c r="C21" s="15" t="s">
        <v>140</v>
      </c>
      <c r="D21" s="15" t="s">
        <v>142</v>
      </c>
      <c r="E21" s="15" t="s">
        <v>139</v>
      </c>
      <c r="F21" s="15" t="s">
        <v>144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>
        <v>1.0</v>
      </c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30"/>
      <c r="BK21" s="30"/>
      <c r="BL21" s="30" t="str">
        <f t="shared" si="1"/>
        <v/>
      </c>
      <c r="BM21" s="31"/>
      <c r="BN21" s="31" t="str">
        <f t="shared" si="2"/>
        <v/>
      </c>
      <c r="BO21" s="15" t="s">
        <v>147</v>
      </c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 t="str">
        <f t="shared" si="3"/>
        <v> </v>
      </c>
      <c r="CF21" s="33"/>
      <c r="CG21" s="33"/>
      <c r="CH21" s="15"/>
      <c r="CI21" s="22"/>
      <c r="CJ21" s="15"/>
      <c r="CK21" s="15"/>
      <c r="CL21" s="15"/>
      <c r="CM21" s="15"/>
      <c r="CN21" s="30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</row>
    <row r="22" ht="14.25" customHeight="1">
      <c r="A22" s="15"/>
      <c r="B22" s="15"/>
      <c r="C22" s="15" t="s">
        <v>140</v>
      </c>
      <c r="D22" s="15" t="s">
        <v>142</v>
      </c>
      <c r="E22" s="15" t="s">
        <v>139</v>
      </c>
      <c r="F22" s="15" t="s">
        <v>144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>
        <v>1.0</v>
      </c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30"/>
      <c r="BK22" s="30"/>
      <c r="BL22" s="30" t="str">
        <f t="shared" si="1"/>
        <v/>
      </c>
      <c r="BM22" s="31"/>
      <c r="BN22" s="31" t="str">
        <f t="shared" si="2"/>
        <v/>
      </c>
      <c r="BO22" s="15" t="s">
        <v>147</v>
      </c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 t="str">
        <f t="shared" si="3"/>
        <v> </v>
      </c>
      <c r="CF22" s="33"/>
      <c r="CG22" s="33"/>
      <c r="CH22" s="15"/>
      <c r="CI22" s="22"/>
      <c r="CJ22" s="15"/>
      <c r="CK22" s="15"/>
      <c r="CL22" s="15"/>
      <c r="CM22" s="15"/>
      <c r="CN22" s="30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</row>
    <row r="23" ht="14.25" customHeight="1">
      <c r="A23" s="15"/>
      <c r="B23" s="15"/>
      <c r="C23" s="15" t="s">
        <v>140</v>
      </c>
      <c r="D23" s="15" t="s">
        <v>142</v>
      </c>
      <c r="E23" s="15" t="s">
        <v>139</v>
      </c>
      <c r="F23" s="15" t="s">
        <v>144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>
        <v>1.0</v>
      </c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30"/>
      <c r="BK23" s="30"/>
      <c r="BL23" s="30" t="str">
        <f t="shared" si="1"/>
        <v/>
      </c>
      <c r="BM23" s="31"/>
      <c r="BN23" s="31" t="str">
        <f t="shared" si="2"/>
        <v/>
      </c>
      <c r="BO23" s="15" t="s">
        <v>147</v>
      </c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 t="str">
        <f t="shared" si="3"/>
        <v> </v>
      </c>
      <c r="CF23" s="33"/>
      <c r="CG23" s="33"/>
      <c r="CH23" s="15"/>
      <c r="CI23" s="22"/>
      <c r="CJ23" s="15"/>
      <c r="CK23" s="15"/>
      <c r="CL23" s="15"/>
      <c r="CM23" s="15"/>
      <c r="CN23" s="30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</row>
    <row r="24" ht="14.25" customHeight="1">
      <c r="A24" s="15"/>
      <c r="B24" s="15"/>
      <c r="C24" s="15" t="s">
        <v>140</v>
      </c>
      <c r="D24" s="15" t="s">
        <v>142</v>
      </c>
      <c r="E24" s="15" t="s">
        <v>139</v>
      </c>
      <c r="F24" s="15" t="s">
        <v>144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>
        <v>1.0</v>
      </c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30"/>
      <c r="BK24" s="30"/>
      <c r="BL24" s="30" t="str">
        <f t="shared" si="1"/>
        <v/>
      </c>
      <c r="BM24" s="31"/>
      <c r="BN24" s="31" t="str">
        <f t="shared" si="2"/>
        <v/>
      </c>
      <c r="BO24" s="15" t="s">
        <v>147</v>
      </c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 t="str">
        <f t="shared" si="3"/>
        <v> </v>
      </c>
      <c r="CF24" s="33"/>
      <c r="CG24" s="33"/>
      <c r="CH24" s="15"/>
      <c r="CI24" s="22"/>
      <c r="CJ24" s="15"/>
      <c r="CK24" s="15"/>
      <c r="CL24" s="15"/>
      <c r="CM24" s="15"/>
      <c r="CN24" s="30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</row>
    <row r="25" ht="14.25" customHeight="1">
      <c r="A25" s="15"/>
      <c r="B25" s="15"/>
      <c r="C25" s="15" t="s">
        <v>140</v>
      </c>
      <c r="D25" s="15" t="s">
        <v>142</v>
      </c>
      <c r="E25" s="15" t="s">
        <v>139</v>
      </c>
      <c r="F25" s="15" t="s">
        <v>144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>
        <v>1.0</v>
      </c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30"/>
      <c r="BK25" s="30"/>
      <c r="BL25" s="30" t="str">
        <f t="shared" si="1"/>
        <v/>
      </c>
      <c r="BM25" s="31"/>
      <c r="BN25" s="31" t="str">
        <f t="shared" si="2"/>
        <v/>
      </c>
      <c r="BO25" s="15" t="s">
        <v>147</v>
      </c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 t="str">
        <f t="shared" si="3"/>
        <v> </v>
      </c>
      <c r="CF25" s="33"/>
      <c r="CG25" s="33"/>
      <c r="CH25" s="15"/>
      <c r="CI25" s="22"/>
      <c r="CJ25" s="15"/>
      <c r="CK25" s="15"/>
      <c r="CL25" s="15"/>
      <c r="CM25" s="15"/>
      <c r="CN25" s="30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</row>
    <row r="26" ht="14.25" customHeight="1">
      <c r="A26" s="15"/>
      <c r="B26" s="15"/>
      <c r="C26" s="15" t="s">
        <v>140</v>
      </c>
      <c r="D26" s="15" t="s">
        <v>142</v>
      </c>
      <c r="E26" s="15" t="s">
        <v>139</v>
      </c>
      <c r="F26" s="15" t="s">
        <v>144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>
        <v>1.0</v>
      </c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30"/>
      <c r="BK26" s="30"/>
      <c r="BL26" s="30" t="str">
        <f t="shared" si="1"/>
        <v/>
      </c>
      <c r="BM26" s="31"/>
      <c r="BN26" s="31" t="str">
        <f t="shared" si="2"/>
        <v/>
      </c>
      <c r="BO26" s="15" t="s">
        <v>147</v>
      </c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 t="str">
        <f t="shared" si="3"/>
        <v> </v>
      </c>
      <c r="CF26" s="33"/>
      <c r="CG26" s="33"/>
      <c r="CH26" s="15"/>
      <c r="CI26" s="22"/>
      <c r="CJ26" s="15"/>
      <c r="CK26" s="15"/>
      <c r="CL26" s="15"/>
      <c r="CM26" s="15"/>
      <c r="CN26" s="30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</row>
    <row r="27" ht="14.25" customHeight="1">
      <c r="A27" s="15"/>
      <c r="B27" s="15"/>
      <c r="C27" s="15" t="s">
        <v>140</v>
      </c>
      <c r="D27" s="15" t="s">
        <v>142</v>
      </c>
      <c r="E27" s="15" t="s">
        <v>139</v>
      </c>
      <c r="F27" s="15" t="s">
        <v>144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>
        <v>1.0</v>
      </c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30"/>
      <c r="BK27" s="30"/>
      <c r="BL27" s="30" t="str">
        <f t="shared" si="1"/>
        <v/>
      </c>
      <c r="BM27" s="31"/>
      <c r="BN27" s="31" t="str">
        <f t="shared" si="2"/>
        <v/>
      </c>
      <c r="BO27" s="15" t="s">
        <v>147</v>
      </c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 t="str">
        <f t="shared" si="3"/>
        <v> </v>
      </c>
      <c r="CF27" s="33"/>
      <c r="CG27" s="33"/>
      <c r="CH27" s="15"/>
      <c r="CI27" s="22"/>
      <c r="CJ27" s="15"/>
      <c r="CK27" s="15"/>
      <c r="CL27" s="15"/>
      <c r="CM27" s="15"/>
      <c r="CN27" s="30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</row>
    <row r="28" ht="14.25" customHeight="1">
      <c r="A28" s="15"/>
      <c r="B28" s="15"/>
      <c r="C28" s="15" t="s">
        <v>140</v>
      </c>
      <c r="D28" s="15" t="s">
        <v>142</v>
      </c>
      <c r="E28" s="15" t="s">
        <v>139</v>
      </c>
      <c r="F28" s="15" t="s">
        <v>144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>
        <v>1.0</v>
      </c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30"/>
      <c r="BK28" s="30"/>
      <c r="BL28" s="30" t="str">
        <f t="shared" si="1"/>
        <v/>
      </c>
      <c r="BM28" s="31"/>
      <c r="BN28" s="31" t="str">
        <f t="shared" si="2"/>
        <v/>
      </c>
      <c r="BO28" s="15" t="s">
        <v>147</v>
      </c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 t="str">
        <f t="shared" si="3"/>
        <v> </v>
      </c>
      <c r="CF28" s="33"/>
      <c r="CG28" s="33"/>
      <c r="CH28" s="15"/>
      <c r="CI28" s="22"/>
      <c r="CJ28" s="15"/>
      <c r="CK28" s="15"/>
      <c r="CL28" s="15"/>
      <c r="CM28" s="15"/>
      <c r="CN28" s="30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</row>
    <row r="29" ht="14.25" customHeight="1">
      <c r="A29" s="15"/>
      <c r="B29" s="15"/>
      <c r="C29" s="15" t="s">
        <v>140</v>
      </c>
      <c r="D29" s="15" t="s">
        <v>142</v>
      </c>
      <c r="E29" s="15" t="s">
        <v>139</v>
      </c>
      <c r="F29" s="15" t="s">
        <v>144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>
        <v>1.0</v>
      </c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30"/>
      <c r="BK29" s="30"/>
      <c r="BL29" s="30" t="str">
        <f t="shared" si="1"/>
        <v/>
      </c>
      <c r="BM29" s="31"/>
      <c r="BN29" s="31" t="str">
        <f t="shared" si="2"/>
        <v/>
      </c>
      <c r="BO29" s="15" t="s">
        <v>147</v>
      </c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 t="str">
        <f t="shared" si="3"/>
        <v> </v>
      </c>
      <c r="CF29" s="33"/>
      <c r="CG29" s="33"/>
      <c r="CH29" s="15"/>
      <c r="CI29" s="22"/>
      <c r="CJ29" s="15"/>
      <c r="CK29" s="15"/>
      <c r="CL29" s="15"/>
      <c r="CM29" s="15"/>
      <c r="CN29" s="30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</row>
    <row r="30" ht="14.25" customHeight="1">
      <c r="A30" s="15"/>
      <c r="B30" s="15"/>
      <c r="C30" s="15" t="s">
        <v>140</v>
      </c>
      <c r="D30" s="15" t="s">
        <v>142</v>
      </c>
      <c r="E30" s="15" t="s">
        <v>139</v>
      </c>
      <c r="F30" s="15" t="s">
        <v>144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>
        <v>1.0</v>
      </c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30"/>
      <c r="BK30" s="30"/>
      <c r="BL30" s="30" t="str">
        <f t="shared" si="1"/>
        <v/>
      </c>
      <c r="BM30" s="31"/>
      <c r="BN30" s="31" t="str">
        <f t="shared" si="2"/>
        <v/>
      </c>
      <c r="BO30" s="15" t="s">
        <v>147</v>
      </c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 t="str">
        <f t="shared" si="3"/>
        <v> </v>
      </c>
      <c r="CF30" s="33"/>
      <c r="CG30" s="33"/>
      <c r="CH30" s="15"/>
      <c r="CI30" s="22"/>
      <c r="CJ30" s="15"/>
      <c r="CK30" s="15"/>
      <c r="CL30" s="15"/>
      <c r="CM30" s="15"/>
      <c r="CN30" s="30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</row>
    <row r="31" ht="14.25" customHeight="1">
      <c r="A31" s="15"/>
      <c r="B31" s="15"/>
      <c r="C31" s="15" t="s">
        <v>140</v>
      </c>
      <c r="D31" s="15" t="s">
        <v>142</v>
      </c>
      <c r="E31" s="15" t="s">
        <v>139</v>
      </c>
      <c r="F31" s="15" t="s">
        <v>144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>
        <v>1.0</v>
      </c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30"/>
      <c r="BK31" s="30"/>
      <c r="BL31" s="30" t="str">
        <f t="shared" si="1"/>
        <v/>
      </c>
      <c r="BM31" s="31"/>
      <c r="BN31" s="31" t="str">
        <f t="shared" si="2"/>
        <v/>
      </c>
      <c r="BO31" s="15" t="s">
        <v>147</v>
      </c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 t="str">
        <f t="shared" si="3"/>
        <v> </v>
      </c>
      <c r="CF31" s="33"/>
      <c r="CG31" s="33"/>
      <c r="CH31" s="15"/>
      <c r="CI31" s="22"/>
      <c r="CJ31" s="15"/>
      <c r="CK31" s="15"/>
      <c r="CL31" s="15"/>
      <c r="CM31" s="15"/>
      <c r="CN31" s="30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</row>
    <row r="32" ht="14.25" customHeight="1">
      <c r="A32" s="15"/>
      <c r="B32" s="15"/>
      <c r="C32" s="15" t="s">
        <v>140</v>
      </c>
      <c r="D32" s="15" t="s">
        <v>142</v>
      </c>
      <c r="E32" s="15" t="s">
        <v>139</v>
      </c>
      <c r="F32" s="15" t="s">
        <v>144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>
        <v>1.0</v>
      </c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30"/>
      <c r="BK32" s="30"/>
      <c r="BL32" s="30" t="str">
        <f t="shared" si="1"/>
        <v/>
      </c>
      <c r="BM32" s="31"/>
      <c r="BN32" s="31" t="str">
        <f t="shared" si="2"/>
        <v/>
      </c>
      <c r="BO32" s="15" t="s">
        <v>147</v>
      </c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 t="str">
        <f t="shared" si="3"/>
        <v> </v>
      </c>
      <c r="CF32" s="33"/>
      <c r="CG32" s="33"/>
      <c r="CH32" s="15"/>
      <c r="CI32" s="22"/>
      <c r="CJ32" s="15"/>
      <c r="CK32" s="15"/>
      <c r="CL32" s="15"/>
      <c r="CM32" s="15"/>
      <c r="CN32" s="30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</row>
    <row r="33" ht="14.25" customHeight="1">
      <c r="A33" s="15"/>
      <c r="B33" s="15"/>
      <c r="C33" s="15" t="s">
        <v>140</v>
      </c>
      <c r="D33" s="15" t="s">
        <v>142</v>
      </c>
      <c r="E33" s="15" t="s">
        <v>139</v>
      </c>
      <c r="F33" s="15" t="s">
        <v>144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>
        <v>1.0</v>
      </c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30"/>
      <c r="BK33" s="30"/>
      <c r="BL33" s="30" t="str">
        <f t="shared" si="1"/>
        <v/>
      </c>
      <c r="BM33" s="31"/>
      <c r="BN33" s="31" t="str">
        <f t="shared" si="2"/>
        <v/>
      </c>
      <c r="BO33" s="15" t="s">
        <v>147</v>
      </c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 t="str">
        <f t="shared" si="3"/>
        <v> </v>
      </c>
      <c r="CF33" s="33"/>
      <c r="CG33" s="33"/>
      <c r="CH33" s="15"/>
      <c r="CI33" s="22"/>
      <c r="CJ33" s="15"/>
      <c r="CK33" s="15"/>
      <c r="CL33" s="15"/>
      <c r="CM33" s="15"/>
      <c r="CN33" s="30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</row>
    <row r="34" ht="14.25" customHeight="1">
      <c r="A34" s="15"/>
      <c r="B34" s="15"/>
      <c r="C34" s="15" t="s">
        <v>140</v>
      </c>
      <c r="D34" s="15" t="s">
        <v>142</v>
      </c>
      <c r="E34" s="15" t="s">
        <v>139</v>
      </c>
      <c r="F34" s="15" t="s">
        <v>144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>
        <v>1.0</v>
      </c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30"/>
      <c r="BK34" s="30"/>
      <c r="BL34" s="30" t="str">
        <f t="shared" si="1"/>
        <v/>
      </c>
      <c r="BM34" s="31"/>
      <c r="BN34" s="31" t="str">
        <f t="shared" si="2"/>
        <v/>
      </c>
      <c r="BO34" s="15" t="s">
        <v>147</v>
      </c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 t="str">
        <f t="shared" si="3"/>
        <v> </v>
      </c>
      <c r="CF34" s="33"/>
      <c r="CG34" s="33"/>
      <c r="CH34" s="15"/>
      <c r="CI34" s="22"/>
      <c r="CJ34" s="15"/>
      <c r="CK34" s="15"/>
      <c r="CL34" s="15"/>
      <c r="CM34" s="15"/>
      <c r="CN34" s="30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</row>
    <row r="35" ht="14.25" customHeight="1">
      <c r="A35" s="15"/>
      <c r="B35" s="15"/>
      <c r="C35" s="15" t="s">
        <v>140</v>
      </c>
      <c r="D35" s="15" t="s">
        <v>142</v>
      </c>
      <c r="E35" s="15" t="s">
        <v>139</v>
      </c>
      <c r="F35" s="15" t="s">
        <v>144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>
        <v>1.0</v>
      </c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30"/>
      <c r="BK35" s="30"/>
      <c r="BL35" s="30" t="str">
        <f t="shared" si="1"/>
        <v/>
      </c>
      <c r="BM35" s="31"/>
      <c r="BN35" s="31" t="str">
        <f t="shared" si="2"/>
        <v/>
      </c>
      <c r="BO35" s="15" t="s">
        <v>147</v>
      </c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 t="str">
        <f t="shared" si="3"/>
        <v> </v>
      </c>
      <c r="CF35" s="33"/>
      <c r="CG35" s="33"/>
      <c r="CH35" s="15"/>
      <c r="CI35" s="22"/>
      <c r="CJ35" s="15"/>
      <c r="CK35" s="15"/>
      <c r="CL35" s="15"/>
      <c r="CM35" s="15"/>
      <c r="CN35" s="30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</row>
    <row r="36" ht="14.25" customHeight="1">
      <c r="A36" s="15"/>
      <c r="B36" s="15"/>
      <c r="C36" s="15" t="s">
        <v>140</v>
      </c>
      <c r="D36" s="15" t="s">
        <v>142</v>
      </c>
      <c r="E36" s="15" t="s">
        <v>139</v>
      </c>
      <c r="F36" s="15" t="s">
        <v>144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>
        <v>1.0</v>
      </c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30"/>
      <c r="BK36" s="30"/>
      <c r="BL36" s="30" t="str">
        <f t="shared" si="1"/>
        <v/>
      </c>
      <c r="BM36" s="31"/>
      <c r="BN36" s="31" t="str">
        <f t="shared" si="2"/>
        <v/>
      </c>
      <c r="BO36" s="15" t="s">
        <v>147</v>
      </c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 t="str">
        <f t="shared" si="3"/>
        <v> </v>
      </c>
      <c r="CF36" s="33"/>
      <c r="CG36" s="33"/>
      <c r="CH36" s="15"/>
      <c r="CI36" s="22"/>
      <c r="CJ36" s="15"/>
      <c r="CK36" s="15"/>
      <c r="CL36" s="15"/>
      <c r="CM36" s="15"/>
      <c r="CN36" s="30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</row>
    <row r="37" ht="14.25" customHeight="1">
      <c r="A37" s="15"/>
      <c r="B37" s="15"/>
      <c r="C37" s="15" t="s">
        <v>140</v>
      </c>
      <c r="D37" s="15" t="s">
        <v>142</v>
      </c>
      <c r="E37" s="15" t="s">
        <v>139</v>
      </c>
      <c r="F37" s="15" t="s">
        <v>144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>
        <v>1.0</v>
      </c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30"/>
      <c r="BK37" s="30"/>
      <c r="BL37" s="30" t="str">
        <f t="shared" si="1"/>
        <v/>
      </c>
      <c r="BM37" s="31"/>
      <c r="BN37" s="31" t="str">
        <f t="shared" si="2"/>
        <v/>
      </c>
      <c r="BO37" s="15" t="s">
        <v>147</v>
      </c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 t="str">
        <f t="shared" si="3"/>
        <v> </v>
      </c>
      <c r="CF37" s="33"/>
      <c r="CG37" s="33"/>
      <c r="CH37" s="15"/>
      <c r="CI37" s="22"/>
      <c r="CJ37" s="15"/>
      <c r="CK37" s="15"/>
      <c r="CL37" s="15"/>
      <c r="CM37" s="15"/>
      <c r="CN37" s="30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</row>
    <row r="38" ht="14.25" customHeight="1">
      <c r="A38" s="15"/>
      <c r="B38" s="15"/>
      <c r="C38" s="15" t="s">
        <v>140</v>
      </c>
      <c r="D38" s="15" t="s">
        <v>142</v>
      </c>
      <c r="E38" s="15" t="s">
        <v>139</v>
      </c>
      <c r="F38" s="15" t="s">
        <v>144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>
        <v>1.0</v>
      </c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30"/>
      <c r="BK38" s="30"/>
      <c r="BL38" s="30" t="str">
        <f t="shared" si="1"/>
        <v/>
      </c>
      <c r="BM38" s="31"/>
      <c r="BN38" s="31" t="str">
        <f t="shared" si="2"/>
        <v/>
      </c>
      <c r="BO38" s="15" t="s">
        <v>147</v>
      </c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 t="str">
        <f t="shared" si="3"/>
        <v> </v>
      </c>
      <c r="CF38" s="33"/>
      <c r="CG38" s="33"/>
      <c r="CH38" s="15"/>
      <c r="CI38" s="22"/>
      <c r="CJ38" s="15"/>
      <c r="CK38" s="15"/>
      <c r="CL38" s="15"/>
      <c r="CM38" s="15"/>
      <c r="CN38" s="30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</row>
    <row r="39" ht="14.25" customHeight="1">
      <c r="A39" s="15"/>
      <c r="B39" s="15"/>
      <c r="C39" s="15" t="s">
        <v>140</v>
      </c>
      <c r="D39" s="15" t="s">
        <v>142</v>
      </c>
      <c r="E39" s="15" t="s">
        <v>139</v>
      </c>
      <c r="F39" s="15" t="s">
        <v>144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>
        <v>1.0</v>
      </c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30"/>
      <c r="BK39" s="30"/>
      <c r="BL39" s="30" t="str">
        <f t="shared" si="1"/>
        <v/>
      </c>
      <c r="BM39" s="31"/>
      <c r="BN39" s="31" t="str">
        <f t="shared" si="2"/>
        <v/>
      </c>
      <c r="BO39" s="15" t="s">
        <v>147</v>
      </c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 t="str">
        <f t="shared" si="3"/>
        <v> </v>
      </c>
      <c r="CF39" s="33"/>
      <c r="CG39" s="33"/>
      <c r="CH39" s="15"/>
      <c r="CI39" s="22"/>
      <c r="CJ39" s="15"/>
      <c r="CK39" s="15"/>
      <c r="CL39" s="15"/>
      <c r="CM39" s="15"/>
      <c r="CN39" s="30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</row>
    <row r="40" ht="14.25" customHeight="1">
      <c r="A40" s="15"/>
      <c r="B40" s="15"/>
      <c r="C40" s="15" t="s">
        <v>140</v>
      </c>
      <c r="D40" s="15" t="s">
        <v>142</v>
      </c>
      <c r="E40" s="15" t="s">
        <v>139</v>
      </c>
      <c r="F40" s="15" t="s">
        <v>144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>
        <v>1.0</v>
      </c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30"/>
      <c r="BK40" s="30"/>
      <c r="BL40" s="30" t="str">
        <f t="shared" si="1"/>
        <v/>
      </c>
      <c r="BM40" s="31"/>
      <c r="BN40" s="31" t="str">
        <f t="shared" si="2"/>
        <v/>
      </c>
      <c r="BO40" s="15" t="s">
        <v>147</v>
      </c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 t="str">
        <f t="shared" si="3"/>
        <v> </v>
      </c>
      <c r="CF40" s="33"/>
      <c r="CG40" s="33"/>
      <c r="CH40" s="15"/>
      <c r="CI40" s="22"/>
      <c r="CJ40" s="15"/>
      <c r="CK40" s="15"/>
      <c r="CL40" s="15"/>
      <c r="CM40" s="15"/>
      <c r="CN40" s="30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</row>
    <row r="41" ht="14.25" customHeight="1">
      <c r="A41" s="15"/>
      <c r="B41" s="15"/>
      <c r="C41" s="15" t="s">
        <v>140</v>
      </c>
      <c r="D41" s="15" t="s">
        <v>142</v>
      </c>
      <c r="E41" s="15" t="s">
        <v>139</v>
      </c>
      <c r="F41" s="15" t="s">
        <v>144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>
        <v>1.0</v>
      </c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30"/>
      <c r="BK41" s="30"/>
      <c r="BL41" s="30" t="str">
        <f t="shared" si="1"/>
        <v/>
      </c>
      <c r="BM41" s="31"/>
      <c r="BN41" s="31" t="str">
        <f t="shared" si="2"/>
        <v/>
      </c>
      <c r="BO41" s="15" t="s">
        <v>147</v>
      </c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 t="str">
        <f t="shared" si="3"/>
        <v> </v>
      </c>
      <c r="CF41" s="33"/>
      <c r="CG41" s="33"/>
      <c r="CH41" s="15"/>
      <c r="CI41" s="22"/>
      <c r="CJ41" s="15"/>
      <c r="CK41" s="15"/>
      <c r="CL41" s="15"/>
      <c r="CM41" s="15"/>
      <c r="CN41" s="30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</row>
    <row r="42" ht="14.25" customHeight="1">
      <c r="A42" s="15"/>
      <c r="B42" s="15"/>
      <c r="C42" s="15" t="s">
        <v>140</v>
      </c>
      <c r="D42" s="15" t="s">
        <v>142</v>
      </c>
      <c r="E42" s="15" t="s">
        <v>139</v>
      </c>
      <c r="F42" s="15" t="s">
        <v>144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>
        <v>1.0</v>
      </c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30"/>
      <c r="BK42" s="30"/>
      <c r="BL42" s="30" t="str">
        <f t="shared" si="1"/>
        <v/>
      </c>
      <c r="BM42" s="31"/>
      <c r="BN42" s="31" t="str">
        <f t="shared" si="2"/>
        <v/>
      </c>
      <c r="BO42" s="15" t="s">
        <v>147</v>
      </c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 t="str">
        <f t="shared" si="3"/>
        <v> </v>
      </c>
      <c r="CF42" s="33"/>
      <c r="CG42" s="33"/>
      <c r="CH42" s="15"/>
      <c r="CI42" s="22"/>
      <c r="CJ42" s="15"/>
      <c r="CK42" s="15"/>
      <c r="CL42" s="15"/>
      <c r="CM42" s="15"/>
      <c r="CN42" s="30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</row>
    <row r="43" ht="14.25" customHeight="1">
      <c r="A43" s="15"/>
      <c r="B43" s="15"/>
      <c r="C43" s="15" t="s">
        <v>140</v>
      </c>
      <c r="D43" s="15" t="s">
        <v>142</v>
      </c>
      <c r="E43" s="15" t="s">
        <v>139</v>
      </c>
      <c r="F43" s="15" t="s">
        <v>144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>
        <v>1.0</v>
      </c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30"/>
      <c r="BK43" s="30"/>
      <c r="BL43" s="30" t="str">
        <f t="shared" si="1"/>
        <v/>
      </c>
      <c r="BM43" s="31"/>
      <c r="BN43" s="31" t="str">
        <f t="shared" si="2"/>
        <v/>
      </c>
      <c r="BO43" s="15" t="s">
        <v>147</v>
      </c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 t="str">
        <f t="shared" si="3"/>
        <v> </v>
      </c>
      <c r="CF43" s="33"/>
      <c r="CG43" s="33"/>
      <c r="CH43" s="15"/>
      <c r="CI43" s="22"/>
      <c r="CJ43" s="15"/>
      <c r="CK43" s="15"/>
      <c r="CL43" s="15"/>
      <c r="CM43" s="15"/>
      <c r="CN43" s="30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</row>
    <row r="44" ht="14.25" customHeight="1">
      <c r="A44" s="15"/>
      <c r="B44" s="15"/>
      <c r="C44" s="15" t="s">
        <v>140</v>
      </c>
      <c r="D44" s="15" t="s">
        <v>142</v>
      </c>
      <c r="E44" s="15" t="s">
        <v>139</v>
      </c>
      <c r="F44" s="15" t="s">
        <v>144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>
        <v>1.0</v>
      </c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30"/>
      <c r="BK44" s="30"/>
      <c r="BL44" s="30" t="str">
        <f t="shared" si="1"/>
        <v/>
      </c>
      <c r="BM44" s="31"/>
      <c r="BN44" s="31" t="str">
        <f t="shared" si="2"/>
        <v/>
      </c>
      <c r="BO44" s="15" t="s">
        <v>147</v>
      </c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 t="str">
        <f t="shared" si="3"/>
        <v> </v>
      </c>
      <c r="CF44" s="33"/>
      <c r="CG44" s="33"/>
      <c r="CH44" s="15"/>
      <c r="CI44" s="22"/>
      <c r="CJ44" s="15"/>
      <c r="CK44" s="15"/>
      <c r="CL44" s="15"/>
      <c r="CM44" s="15"/>
      <c r="CN44" s="30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</row>
    <row r="45" ht="14.25" customHeight="1">
      <c r="A45" s="15"/>
      <c r="B45" s="15"/>
      <c r="C45" s="15" t="s">
        <v>140</v>
      </c>
      <c r="D45" s="15" t="s">
        <v>142</v>
      </c>
      <c r="E45" s="15" t="s">
        <v>139</v>
      </c>
      <c r="F45" s="15" t="s">
        <v>144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>
        <v>1.0</v>
      </c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30"/>
      <c r="BK45" s="30"/>
      <c r="BL45" s="30" t="str">
        <f t="shared" si="1"/>
        <v/>
      </c>
      <c r="BM45" s="31"/>
      <c r="BN45" s="31" t="str">
        <f t="shared" si="2"/>
        <v/>
      </c>
      <c r="BO45" s="15" t="s">
        <v>147</v>
      </c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 t="str">
        <f t="shared" si="3"/>
        <v> </v>
      </c>
      <c r="CF45" s="33"/>
      <c r="CG45" s="33"/>
      <c r="CH45" s="15"/>
      <c r="CI45" s="22"/>
      <c r="CJ45" s="15"/>
      <c r="CK45" s="15"/>
      <c r="CL45" s="15"/>
      <c r="CM45" s="15"/>
      <c r="CN45" s="30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</row>
    <row r="46" ht="14.25" customHeight="1">
      <c r="A46" s="15"/>
      <c r="B46" s="15"/>
      <c r="C46" s="15" t="s">
        <v>140</v>
      </c>
      <c r="D46" s="15" t="s">
        <v>142</v>
      </c>
      <c r="E46" s="15" t="s">
        <v>139</v>
      </c>
      <c r="F46" s="15" t="s">
        <v>144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>
        <v>1.0</v>
      </c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30"/>
      <c r="BK46" s="30"/>
      <c r="BL46" s="30" t="str">
        <f t="shared" si="1"/>
        <v/>
      </c>
      <c r="BM46" s="31"/>
      <c r="BN46" s="31" t="str">
        <f t="shared" si="2"/>
        <v/>
      </c>
      <c r="BO46" s="15" t="s">
        <v>147</v>
      </c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 t="str">
        <f t="shared" si="3"/>
        <v> </v>
      </c>
      <c r="CF46" s="33"/>
      <c r="CG46" s="33"/>
      <c r="CH46" s="15"/>
      <c r="CI46" s="22"/>
      <c r="CJ46" s="15"/>
      <c r="CK46" s="15"/>
      <c r="CL46" s="15"/>
      <c r="CM46" s="15"/>
      <c r="CN46" s="30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</row>
    <row r="47" ht="14.25" customHeight="1">
      <c r="A47" s="15"/>
      <c r="B47" s="15"/>
      <c r="C47" s="15" t="s">
        <v>140</v>
      </c>
      <c r="D47" s="15" t="s">
        <v>142</v>
      </c>
      <c r="E47" s="15" t="s">
        <v>139</v>
      </c>
      <c r="F47" s="15" t="s">
        <v>144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>
        <v>1.0</v>
      </c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30"/>
      <c r="BK47" s="30"/>
      <c r="BL47" s="30" t="str">
        <f t="shared" si="1"/>
        <v/>
      </c>
      <c r="BM47" s="31"/>
      <c r="BN47" s="31" t="str">
        <f t="shared" si="2"/>
        <v/>
      </c>
      <c r="BO47" s="15" t="s">
        <v>147</v>
      </c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 t="str">
        <f t="shared" si="3"/>
        <v> </v>
      </c>
      <c r="CF47" s="33"/>
      <c r="CG47" s="33"/>
      <c r="CH47" s="15"/>
      <c r="CI47" s="22"/>
      <c r="CJ47" s="15"/>
      <c r="CK47" s="15"/>
      <c r="CL47" s="15"/>
      <c r="CM47" s="15"/>
      <c r="CN47" s="30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</row>
    <row r="48" ht="14.25" customHeight="1">
      <c r="A48" s="15"/>
      <c r="B48" s="15"/>
      <c r="C48" s="15" t="s">
        <v>140</v>
      </c>
      <c r="D48" s="15" t="s">
        <v>142</v>
      </c>
      <c r="E48" s="15" t="s">
        <v>139</v>
      </c>
      <c r="F48" s="15" t="s">
        <v>144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>
        <v>1.0</v>
      </c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30"/>
      <c r="BK48" s="30"/>
      <c r="BL48" s="30" t="str">
        <f t="shared" si="1"/>
        <v/>
      </c>
      <c r="BM48" s="31"/>
      <c r="BN48" s="31" t="str">
        <f t="shared" si="2"/>
        <v/>
      </c>
      <c r="BO48" s="15" t="s">
        <v>147</v>
      </c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 t="str">
        <f t="shared" si="3"/>
        <v> </v>
      </c>
      <c r="CF48" s="33"/>
      <c r="CG48" s="33"/>
      <c r="CH48" s="15"/>
      <c r="CI48" s="22"/>
      <c r="CJ48" s="15"/>
      <c r="CK48" s="15"/>
      <c r="CL48" s="15"/>
      <c r="CM48" s="15"/>
      <c r="CN48" s="30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</row>
    <row r="49" ht="14.25" customHeight="1">
      <c r="A49" s="15"/>
      <c r="B49" s="15"/>
      <c r="C49" s="15" t="s">
        <v>140</v>
      </c>
      <c r="D49" s="15" t="s">
        <v>142</v>
      </c>
      <c r="E49" s="15" t="s">
        <v>139</v>
      </c>
      <c r="F49" s="15" t="s">
        <v>144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>
        <v>1.0</v>
      </c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30"/>
      <c r="BK49" s="30"/>
      <c r="BL49" s="30" t="str">
        <f t="shared" si="1"/>
        <v/>
      </c>
      <c r="BM49" s="31"/>
      <c r="BN49" s="31" t="str">
        <f t="shared" si="2"/>
        <v/>
      </c>
      <c r="BO49" s="15" t="s">
        <v>147</v>
      </c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 t="str">
        <f t="shared" si="3"/>
        <v> </v>
      </c>
      <c r="CF49" s="33"/>
      <c r="CG49" s="33"/>
      <c r="CH49" s="15"/>
      <c r="CI49" s="22"/>
      <c r="CJ49" s="15"/>
      <c r="CK49" s="15"/>
      <c r="CL49" s="15"/>
      <c r="CM49" s="15"/>
      <c r="CN49" s="30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</row>
    <row r="50" ht="14.25" customHeight="1">
      <c r="A50" s="15"/>
      <c r="B50" s="15"/>
      <c r="C50" s="15" t="s">
        <v>140</v>
      </c>
      <c r="D50" s="15" t="s">
        <v>142</v>
      </c>
      <c r="E50" s="15" t="s">
        <v>139</v>
      </c>
      <c r="F50" s="15" t="s">
        <v>144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>
        <v>1.0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30"/>
      <c r="BK50" s="30"/>
      <c r="BL50" s="30" t="str">
        <f t="shared" si="1"/>
        <v/>
      </c>
      <c r="BM50" s="31"/>
      <c r="BN50" s="31" t="str">
        <f t="shared" si="2"/>
        <v/>
      </c>
      <c r="BO50" s="15" t="s">
        <v>147</v>
      </c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 t="str">
        <f t="shared" si="3"/>
        <v> </v>
      </c>
      <c r="CF50" s="33"/>
      <c r="CG50" s="33"/>
      <c r="CH50" s="15"/>
      <c r="CI50" s="22"/>
      <c r="CJ50" s="15"/>
      <c r="CK50" s="15"/>
      <c r="CL50" s="15"/>
      <c r="CM50" s="15"/>
      <c r="CN50" s="30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</row>
    <row r="51" ht="14.25" customHeight="1">
      <c r="A51" s="15"/>
      <c r="B51" s="15"/>
      <c r="C51" s="15" t="s">
        <v>140</v>
      </c>
      <c r="D51" s="15" t="s">
        <v>142</v>
      </c>
      <c r="E51" s="15" t="s">
        <v>139</v>
      </c>
      <c r="F51" s="15" t="s">
        <v>144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>
        <v>1.0</v>
      </c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30"/>
      <c r="BK51" s="30"/>
      <c r="BL51" s="30" t="str">
        <f t="shared" si="1"/>
        <v/>
      </c>
      <c r="BM51" s="31"/>
      <c r="BN51" s="31" t="str">
        <f t="shared" si="2"/>
        <v/>
      </c>
      <c r="BO51" s="15" t="s">
        <v>147</v>
      </c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 t="str">
        <f t="shared" si="3"/>
        <v> </v>
      </c>
      <c r="CF51" s="33"/>
      <c r="CG51" s="33"/>
      <c r="CH51" s="15"/>
      <c r="CI51" s="22"/>
      <c r="CJ51" s="15"/>
      <c r="CK51" s="15"/>
      <c r="CL51" s="15"/>
      <c r="CM51" s="15"/>
      <c r="CN51" s="30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</row>
    <row r="52" ht="14.25" customHeight="1">
      <c r="A52" s="15"/>
      <c r="B52" s="15"/>
      <c r="C52" s="15" t="s">
        <v>140</v>
      </c>
      <c r="D52" s="15" t="s">
        <v>142</v>
      </c>
      <c r="E52" s="15" t="s">
        <v>139</v>
      </c>
      <c r="F52" s="15" t="s">
        <v>144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>
        <v>1.0</v>
      </c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30"/>
      <c r="BK52" s="30"/>
      <c r="BL52" s="30" t="str">
        <f t="shared" si="1"/>
        <v/>
      </c>
      <c r="BM52" s="31"/>
      <c r="BN52" s="31" t="str">
        <f t="shared" si="2"/>
        <v/>
      </c>
      <c r="BO52" s="15" t="s">
        <v>147</v>
      </c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 t="str">
        <f t="shared" si="3"/>
        <v> </v>
      </c>
      <c r="CF52" s="33"/>
      <c r="CG52" s="33"/>
      <c r="CH52" s="15"/>
      <c r="CI52" s="22"/>
      <c r="CJ52" s="15"/>
      <c r="CK52" s="15"/>
      <c r="CL52" s="15"/>
      <c r="CM52" s="15"/>
      <c r="CN52" s="30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</row>
    <row r="53" ht="14.25" customHeight="1">
      <c r="A53" s="15"/>
      <c r="B53" s="15"/>
      <c r="C53" s="15" t="s">
        <v>140</v>
      </c>
      <c r="D53" s="15" t="s">
        <v>142</v>
      </c>
      <c r="E53" s="15" t="s">
        <v>139</v>
      </c>
      <c r="F53" s="15" t="s">
        <v>144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>
        <v>1.0</v>
      </c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30"/>
      <c r="BK53" s="30"/>
      <c r="BL53" s="30" t="str">
        <f t="shared" si="1"/>
        <v/>
      </c>
      <c r="BM53" s="31"/>
      <c r="BN53" s="31" t="str">
        <f t="shared" si="2"/>
        <v/>
      </c>
      <c r="BO53" s="15" t="s">
        <v>147</v>
      </c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 t="str">
        <f t="shared" si="3"/>
        <v> </v>
      </c>
      <c r="CF53" s="33"/>
      <c r="CG53" s="33"/>
      <c r="CH53" s="15"/>
      <c r="CI53" s="22"/>
      <c r="CJ53" s="15"/>
      <c r="CK53" s="15"/>
      <c r="CL53" s="15"/>
      <c r="CM53" s="15"/>
      <c r="CN53" s="30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</row>
    <row r="54" ht="14.25" customHeight="1">
      <c r="A54" s="15"/>
      <c r="B54" s="15"/>
      <c r="C54" s="15" t="s">
        <v>140</v>
      </c>
      <c r="D54" s="15" t="s">
        <v>142</v>
      </c>
      <c r="E54" s="15" t="s">
        <v>139</v>
      </c>
      <c r="F54" s="15" t="s">
        <v>144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>
        <v>1.0</v>
      </c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30"/>
      <c r="BK54" s="30"/>
      <c r="BL54" s="30" t="str">
        <f t="shared" si="1"/>
        <v/>
      </c>
      <c r="BM54" s="31"/>
      <c r="BN54" s="31" t="str">
        <f t="shared" si="2"/>
        <v/>
      </c>
      <c r="BO54" s="15" t="s">
        <v>147</v>
      </c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 t="str">
        <f t="shared" si="3"/>
        <v> </v>
      </c>
      <c r="CF54" s="33"/>
      <c r="CG54" s="33"/>
      <c r="CH54" s="15"/>
      <c r="CI54" s="22"/>
      <c r="CJ54" s="15"/>
      <c r="CK54" s="15"/>
      <c r="CL54" s="15"/>
      <c r="CM54" s="15"/>
      <c r="CN54" s="30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</row>
    <row r="55" ht="14.25" customHeight="1">
      <c r="A55" s="15"/>
      <c r="B55" s="15"/>
      <c r="C55" s="15" t="s">
        <v>140</v>
      </c>
      <c r="D55" s="15" t="s">
        <v>142</v>
      </c>
      <c r="E55" s="15" t="s">
        <v>139</v>
      </c>
      <c r="F55" s="15" t="s">
        <v>144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>
        <v>1.0</v>
      </c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30"/>
      <c r="BK55" s="30"/>
      <c r="BL55" s="30" t="str">
        <f t="shared" si="1"/>
        <v/>
      </c>
      <c r="BM55" s="31"/>
      <c r="BN55" s="31" t="str">
        <f t="shared" si="2"/>
        <v/>
      </c>
      <c r="BO55" s="15" t="s">
        <v>147</v>
      </c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 t="str">
        <f t="shared" si="3"/>
        <v> </v>
      </c>
      <c r="CF55" s="33"/>
      <c r="CG55" s="33"/>
      <c r="CH55" s="15"/>
      <c r="CI55" s="22"/>
      <c r="CJ55" s="15"/>
      <c r="CK55" s="15"/>
      <c r="CL55" s="15"/>
      <c r="CM55" s="15"/>
      <c r="CN55" s="30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</row>
    <row r="56" ht="14.25" customHeight="1">
      <c r="A56" s="15"/>
      <c r="B56" s="15"/>
      <c r="C56" s="15" t="s">
        <v>140</v>
      </c>
      <c r="D56" s="15" t="s">
        <v>142</v>
      </c>
      <c r="E56" s="15" t="s">
        <v>139</v>
      </c>
      <c r="F56" s="15" t="s">
        <v>144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>
        <v>1.0</v>
      </c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30"/>
      <c r="BK56" s="30"/>
      <c r="BL56" s="30" t="str">
        <f t="shared" si="1"/>
        <v/>
      </c>
      <c r="BM56" s="31"/>
      <c r="BN56" s="31" t="str">
        <f t="shared" si="2"/>
        <v/>
      </c>
      <c r="BO56" s="15" t="s">
        <v>147</v>
      </c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 t="str">
        <f t="shared" si="3"/>
        <v> </v>
      </c>
      <c r="CF56" s="33"/>
      <c r="CG56" s="33"/>
      <c r="CH56" s="15"/>
      <c r="CI56" s="22"/>
      <c r="CJ56" s="15"/>
      <c r="CK56" s="15"/>
      <c r="CL56" s="15"/>
      <c r="CM56" s="15"/>
      <c r="CN56" s="30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</row>
    <row r="57" ht="14.25" customHeight="1">
      <c r="A57" s="15"/>
      <c r="B57" s="15"/>
      <c r="C57" s="15" t="s">
        <v>140</v>
      </c>
      <c r="D57" s="15" t="s">
        <v>142</v>
      </c>
      <c r="E57" s="15" t="s">
        <v>139</v>
      </c>
      <c r="F57" s="15" t="s">
        <v>144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>
        <v>1.0</v>
      </c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30"/>
      <c r="BK57" s="30"/>
      <c r="BL57" s="30" t="str">
        <f t="shared" si="1"/>
        <v/>
      </c>
      <c r="BM57" s="31"/>
      <c r="BN57" s="31" t="str">
        <f t="shared" si="2"/>
        <v/>
      </c>
      <c r="BO57" s="15" t="s">
        <v>147</v>
      </c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 t="str">
        <f t="shared" si="3"/>
        <v> </v>
      </c>
      <c r="CF57" s="33"/>
      <c r="CG57" s="33"/>
      <c r="CH57" s="15"/>
      <c r="CI57" s="22"/>
      <c r="CJ57" s="15"/>
      <c r="CK57" s="15"/>
      <c r="CL57" s="15"/>
      <c r="CM57" s="15"/>
      <c r="CN57" s="30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</row>
    <row r="58" ht="14.25" customHeight="1">
      <c r="A58" s="15"/>
      <c r="B58" s="15"/>
      <c r="C58" s="15" t="s">
        <v>140</v>
      </c>
      <c r="D58" s="15" t="s">
        <v>142</v>
      </c>
      <c r="E58" s="15" t="s">
        <v>139</v>
      </c>
      <c r="F58" s="15" t="s">
        <v>144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>
        <v>1.0</v>
      </c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30"/>
      <c r="BK58" s="30"/>
      <c r="BL58" s="30" t="str">
        <f t="shared" si="1"/>
        <v/>
      </c>
      <c r="BM58" s="31"/>
      <c r="BN58" s="31" t="str">
        <f t="shared" si="2"/>
        <v/>
      </c>
      <c r="BO58" s="15" t="s">
        <v>147</v>
      </c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 t="str">
        <f t="shared" si="3"/>
        <v> </v>
      </c>
      <c r="CF58" s="33"/>
      <c r="CG58" s="33"/>
      <c r="CH58" s="15"/>
      <c r="CI58" s="22"/>
      <c r="CJ58" s="15"/>
      <c r="CK58" s="15"/>
      <c r="CL58" s="15"/>
      <c r="CM58" s="15"/>
      <c r="CN58" s="30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</row>
    <row r="59" ht="14.25" customHeight="1">
      <c r="A59" s="15"/>
      <c r="B59" s="15"/>
      <c r="C59" s="15" t="s">
        <v>140</v>
      </c>
      <c r="D59" s="15" t="s">
        <v>142</v>
      </c>
      <c r="E59" s="15" t="s">
        <v>139</v>
      </c>
      <c r="F59" s="15" t="s">
        <v>144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>
        <v>1.0</v>
      </c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30"/>
      <c r="BK59" s="30"/>
      <c r="BL59" s="30" t="str">
        <f t="shared" si="1"/>
        <v/>
      </c>
      <c r="BM59" s="31"/>
      <c r="BN59" s="31" t="str">
        <f t="shared" si="2"/>
        <v/>
      </c>
      <c r="BO59" s="15" t="s">
        <v>147</v>
      </c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 t="str">
        <f t="shared" si="3"/>
        <v> </v>
      </c>
      <c r="CF59" s="33"/>
      <c r="CG59" s="33"/>
      <c r="CH59" s="15"/>
      <c r="CI59" s="22"/>
      <c r="CJ59" s="15"/>
      <c r="CK59" s="15"/>
      <c r="CL59" s="15"/>
      <c r="CM59" s="15"/>
      <c r="CN59" s="30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</row>
    <row r="60" ht="14.25" customHeight="1">
      <c r="A60" s="15"/>
      <c r="B60" s="15"/>
      <c r="C60" s="15" t="s">
        <v>140</v>
      </c>
      <c r="D60" s="15" t="s">
        <v>142</v>
      </c>
      <c r="E60" s="15" t="s">
        <v>139</v>
      </c>
      <c r="F60" s="15" t="s">
        <v>144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>
        <v>1.0</v>
      </c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30"/>
      <c r="BK60" s="30"/>
      <c r="BL60" s="30" t="str">
        <f t="shared" si="1"/>
        <v/>
      </c>
      <c r="BM60" s="31"/>
      <c r="BN60" s="31" t="str">
        <f t="shared" si="2"/>
        <v/>
      </c>
      <c r="BO60" s="15" t="s">
        <v>147</v>
      </c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 t="str">
        <f t="shared" si="3"/>
        <v> </v>
      </c>
      <c r="CF60" s="33"/>
      <c r="CG60" s="33"/>
      <c r="CH60" s="15"/>
      <c r="CI60" s="22"/>
      <c r="CJ60" s="15"/>
      <c r="CK60" s="15"/>
      <c r="CL60" s="15"/>
      <c r="CM60" s="15"/>
      <c r="CN60" s="30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</row>
    <row r="61" ht="14.25" customHeight="1">
      <c r="A61" s="15"/>
      <c r="B61" s="15"/>
      <c r="C61" s="15" t="s">
        <v>140</v>
      </c>
      <c r="D61" s="15" t="s">
        <v>142</v>
      </c>
      <c r="E61" s="15" t="s">
        <v>139</v>
      </c>
      <c r="F61" s="15" t="s">
        <v>144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>
        <v>1.0</v>
      </c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30"/>
      <c r="BK61" s="30"/>
      <c r="BL61" s="30" t="str">
        <f t="shared" si="1"/>
        <v/>
      </c>
      <c r="BM61" s="31"/>
      <c r="BN61" s="31" t="str">
        <f t="shared" si="2"/>
        <v/>
      </c>
      <c r="BO61" s="15" t="s">
        <v>147</v>
      </c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 t="str">
        <f t="shared" si="3"/>
        <v> </v>
      </c>
      <c r="CF61" s="33"/>
      <c r="CG61" s="33"/>
      <c r="CH61" s="15"/>
      <c r="CI61" s="22"/>
      <c r="CJ61" s="15"/>
      <c r="CK61" s="15"/>
      <c r="CL61" s="15"/>
      <c r="CM61" s="15"/>
      <c r="CN61" s="30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</row>
    <row r="62" ht="14.25" customHeight="1">
      <c r="A62" s="15"/>
      <c r="B62" s="15"/>
      <c r="C62" s="15" t="s">
        <v>140</v>
      </c>
      <c r="D62" s="15" t="s">
        <v>142</v>
      </c>
      <c r="E62" s="15" t="s">
        <v>139</v>
      </c>
      <c r="F62" s="15" t="s">
        <v>144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>
        <v>1.0</v>
      </c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30"/>
      <c r="BK62" s="30"/>
      <c r="BL62" s="30" t="str">
        <f t="shared" si="1"/>
        <v/>
      </c>
      <c r="BM62" s="31"/>
      <c r="BN62" s="31" t="str">
        <f t="shared" si="2"/>
        <v/>
      </c>
      <c r="BO62" s="15" t="s">
        <v>147</v>
      </c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 t="str">
        <f t="shared" si="3"/>
        <v> </v>
      </c>
      <c r="CF62" s="33"/>
      <c r="CG62" s="33"/>
      <c r="CH62" s="15"/>
      <c r="CI62" s="22"/>
      <c r="CJ62" s="15"/>
      <c r="CK62" s="15"/>
      <c r="CL62" s="15"/>
      <c r="CM62" s="15"/>
      <c r="CN62" s="30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</row>
    <row r="63" ht="14.25" customHeight="1">
      <c r="A63" s="15"/>
      <c r="B63" s="15"/>
      <c r="C63" s="15" t="s">
        <v>140</v>
      </c>
      <c r="D63" s="15" t="s">
        <v>142</v>
      </c>
      <c r="E63" s="15" t="s">
        <v>139</v>
      </c>
      <c r="F63" s="15" t="s">
        <v>144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>
        <v>1.0</v>
      </c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30"/>
      <c r="BK63" s="30"/>
      <c r="BL63" s="30" t="str">
        <f t="shared" si="1"/>
        <v/>
      </c>
      <c r="BM63" s="31"/>
      <c r="BN63" s="31" t="str">
        <f t="shared" si="2"/>
        <v/>
      </c>
      <c r="BO63" s="15" t="s">
        <v>147</v>
      </c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 t="str">
        <f t="shared" si="3"/>
        <v> </v>
      </c>
      <c r="CF63" s="33"/>
      <c r="CG63" s="33"/>
      <c r="CH63" s="15"/>
      <c r="CI63" s="22"/>
      <c r="CJ63" s="15"/>
      <c r="CK63" s="15"/>
      <c r="CL63" s="15"/>
      <c r="CM63" s="15"/>
      <c r="CN63" s="30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</row>
    <row r="64" ht="14.25" customHeight="1">
      <c r="A64" s="15"/>
      <c r="B64" s="15"/>
      <c r="C64" s="15" t="s">
        <v>140</v>
      </c>
      <c r="D64" s="15" t="s">
        <v>142</v>
      </c>
      <c r="E64" s="15" t="s">
        <v>139</v>
      </c>
      <c r="F64" s="15" t="s">
        <v>144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>
        <v>1.0</v>
      </c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30"/>
      <c r="BK64" s="30"/>
      <c r="BL64" s="30" t="str">
        <f t="shared" si="1"/>
        <v/>
      </c>
      <c r="BM64" s="31"/>
      <c r="BN64" s="31" t="str">
        <f t="shared" si="2"/>
        <v/>
      </c>
      <c r="BO64" s="15" t="s">
        <v>147</v>
      </c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 t="str">
        <f t="shared" si="3"/>
        <v> </v>
      </c>
      <c r="CF64" s="33"/>
      <c r="CG64" s="33"/>
      <c r="CH64" s="15"/>
      <c r="CI64" s="22"/>
      <c r="CJ64" s="15"/>
      <c r="CK64" s="15"/>
      <c r="CL64" s="15"/>
      <c r="CM64" s="15"/>
      <c r="CN64" s="30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</row>
    <row r="65" ht="14.25" customHeight="1">
      <c r="A65" s="15"/>
      <c r="B65" s="15"/>
      <c r="C65" s="15" t="s">
        <v>140</v>
      </c>
      <c r="D65" s="15" t="s">
        <v>142</v>
      </c>
      <c r="E65" s="15" t="s">
        <v>139</v>
      </c>
      <c r="F65" s="15" t="s">
        <v>144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>
        <v>1.0</v>
      </c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30"/>
      <c r="BK65" s="30"/>
      <c r="BL65" s="30" t="str">
        <f t="shared" si="1"/>
        <v/>
      </c>
      <c r="BM65" s="31"/>
      <c r="BN65" s="31" t="str">
        <f t="shared" si="2"/>
        <v/>
      </c>
      <c r="BO65" s="15" t="s">
        <v>147</v>
      </c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 t="str">
        <f t="shared" si="3"/>
        <v> </v>
      </c>
      <c r="CF65" s="33"/>
      <c r="CG65" s="33"/>
      <c r="CH65" s="15"/>
      <c r="CI65" s="22"/>
      <c r="CJ65" s="15"/>
      <c r="CK65" s="15"/>
      <c r="CL65" s="15"/>
      <c r="CM65" s="15"/>
      <c r="CN65" s="30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</row>
    <row r="66" ht="14.25" customHeight="1">
      <c r="A66" s="15"/>
      <c r="B66" s="15"/>
      <c r="C66" s="15" t="s">
        <v>140</v>
      </c>
      <c r="D66" s="15" t="s">
        <v>142</v>
      </c>
      <c r="E66" s="15" t="s">
        <v>139</v>
      </c>
      <c r="F66" s="15" t="s">
        <v>144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>
        <v>1.0</v>
      </c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30"/>
      <c r="BK66" s="30"/>
      <c r="BL66" s="30" t="str">
        <f t="shared" si="1"/>
        <v/>
      </c>
      <c r="BM66" s="31"/>
      <c r="BN66" s="31" t="str">
        <f t="shared" si="2"/>
        <v/>
      </c>
      <c r="BO66" s="15" t="s">
        <v>147</v>
      </c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 t="str">
        <f t="shared" si="3"/>
        <v> </v>
      </c>
      <c r="CF66" s="33"/>
      <c r="CG66" s="33"/>
      <c r="CH66" s="15"/>
      <c r="CI66" s="22"/>
      <c r="CJ66" s="15"/>
      <c r="CK66" s="15"/>
      <c r="CL66" s="15"/>
      <c r="CM66" s="15"/>
      <c r="CN66" s="30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</row>
    <row r="67" ht="14.25" customHeight="1">
      <c r="A67" s="15"/>
      <c r="B67" s="15"/>
      <c r="C67" s="15" t="s">
        <v>140</v>
      </c>
      <c r="D67" s="15" t="s">
        <v>142</v>
      </c>
      <c r="E67" s="15" t="s">
        <v>139</v>
      </c>
      <c r="F67" s="15" t="s">
        <v>144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>
        <v>1.0</v>
      </c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30"/>
      <c r="BK67" s="30"/>
      <c r="BL67" s="30" t="str">
        <f t="shared" si="1"/>
        <v/>
      </c>
      <c r="BM67" s="31"/>
      <c r="BN67" s="31" t="str">
        <f t="shared" si="2"/>
        <v/>
      </c>
      <c r="BO67" s="15" t="s">
        <v>147</v>
      </c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 t="str">
        <f t="shared" si="3"/>
        <v> </v>
      </c>
      <c r="CF67" s="33"/>
      <c r="CG67" s="33"/>
      <c r="CH67" s="15"/>
      <c r="CI67" s="22"/>
      <c r="CJ67" s="15"/>
      <c r="CK67" s="15"/>
      <c r="CL67" s="15"/>
      <c r="CM67" s="15"/>
      <c r="CN67" s="30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</row>
    <row r="68" ht="14.25" customHeight="1">
      <c r="A68" s="15"/>
      <c r="B68" s="15"/>
      <c r="C68" s="15" t="s">
        <v>140</v>
      </c>
      <c r="D68" s="15" t="s">
        <v>142</v>
      </c>
      <c r="E68" s="15" t="s">
        <v>139</v>
      </c>
      <c r="F68" s="15" t="s">
        <v>144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>
        <v>1.0</v>
      </c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30"/>
      <c r="BK68" s="30"/>
      <c r="BL68" s="30" t="str">
        <f t="shared" si="1"/>
        <v/>
      </c>
      <c r="BM68" s="31"/>
      <c r="BN68" s="31" t="str">
        <f t="shared" si="2"/>
        <v/>
      </c>
      <c r="BO68" s="15" t="s">
        <v>147</v>
      </c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 t="str">
        <f t="shared" si="3"/>
        <v> </v>
      </c>
      <c r="CF68" s="33"/>
      <c r="CG68" s="33"/>
      <c r="CH68" s="15"/>
      <c r="CI68" s="22"/>
      <c r="CJ68" s="15"/>
      <c r="CK68" s="15"/>
      <c r="CL68" s="15"/>
      <c r="CM68" s="15"/>
      <c r="CN68" s="30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</row>
    <row r="69" ht="14.25" customHeight="1">
      <c r="A69" s="15"/>
      <c r="B69" s="15"/>
      <c r="C69" s="15" t="s">
        <v>140</v>
      </c>
      <c r="D69" s="15" t="s">
        <v>142</v>
      </c>
      <c r="E69" s="15" t="s">
        <v>139</v>
      </c>
      <c r="F69" s="15" t="s">
        <v>144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>
        <v>1.0</v>
      </c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30"/>
      <c r="BK69" s="30"/>
      <c r="BL69" s="30" t="str">
        <f t="shared" si="1"/>
        <v/>
      </c>
      <c r="BM69" s="31"/>
      <c r="BN69" s="31" t="str">
        <f t="shared" si="2"/>
        <v/>
      </c>
      <c r="BO69" s="15" t="s">
        <v>147</v>
      </c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 t="str">
        <f t="shared" si="3"/>
        <v> </v>
      </c>
      <c r="CF69" s="33"/>
      <c r="CG69" s="33"/>
      <c r="CH69" s="15"/>
      <c r="CI69" s="22"/>
      <c r="CJ69" s="15"/>
      <c r="CK69" s="15"/>
      <c r="CL69" s="15"/>
      <c r="CM69" s="15"/>
      <c r="CN69" s="30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</row>
    <row r="70" ht="14.25" customHeight="1">
      <c r="A70" s="15"/>
      <c r="B70" s="15"/>
      <c r="C70" s="15" t="s">
        <v>140</v>
      </c>
      <c r="D70" s="15" t="s">
        <v>142</v>
      </c>
      <c r="E70" s="15" t="s">
        <v>139</v>
      </c>
      <c r="F70" s="15" t="s">
        <v>144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>
        <v>1.0</v>
      </c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30"/>
      <c r="BK70" s="30"/>
      <c r="BL70" s="30" t="str">
        <f t="shared" si="1"/>
        <v/>
      </c>
      <c r="BM70" s="31"/>
      <c r="BN70" s="31" t="str">
        <f t="shared" si="2"/>
        <v/>
      </c>
      <c r="BO70" s="15" t="s">
        <v>147</v>
      </c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 t="str">
        <f t="shared" si="3"/>
        <v> </v>
      </c>
      <c r="CF70" s="33"/>
      <c r="CG70" s="33"/>
      <c r="CH70" s="15"/>
      <c r="CI70" s="22"/>
      <c r="CJ70" s="15"/>
      <c r="CK70" s="15"/>
      <c r="CL70" s="15"/>
      <c r="CM70" s="15"/>
      <c r="CN70" s="30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</row>
    <row r="71" ht="14.25" customHeight="1">
      <c r="A71" s="15"/>
      <c r="B71" s="15"/>
      <c r="C71" s="15" t="s">
        <v>140</v>
      </c>
      <c r="D71" s="15" t="s">
        <v>142</v>
      </c>
      <c r="E71" s="15" t="s">
        <v>139</v>
      </c>
      <c r="F71" s="15" t="s">
        <v>144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>
        <v>1.0</v>
      </c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30"/>
      <c r="BK71" s="30"/>
      <c r="BL71" s="30" t="str">
        <f t="shared" si="1"/>
        <v/>
      </c>
      <c r="BM71" s="31"/>
      <c r="BN71" s="31" t="str">
        <f t="shared" si="2"/>
        <v/>
      </c>
      <c r="BO71" s="15" t="s">
        <v>147</v>
      </c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 t="str">
        <f t="shared" si="3"/>
        <v> </v>
      </c>
      <c r="CF71" s="33"/>
      <c r="CG71" s="33"/>
      <c r="CH71" s="15"/>
      <c r="CI71" s="22"/>
      <c r="CJ71" s="15"/>
      <c r="CK71" s="15"/>
      <c r="CL71" s="15"/>
      <c r="CM71" s="15"/>
      <c r="CN71" s="30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</row>
    <row r="72" ht="14.25" customHeight="1">
      <c r="A72" s="15"/>
      <c r="B72" s="15"/>
      <c r="C72" s="15" t="s">
        <v>140</v>
      </c>
      <c r="D72" s="15" t="s">
        <v>142</v>
      </c>
      <c r="E72" s="15" t="s">
        <v>139</v>
      </c>
      <c r="F72" s="15" t="s">
        <v>144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>
        <v>1.0</v>
      </c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30"/>
      <c r="BK72" s="30"/>
      <c r="BL72" s="30" t="str">
        <f t="shared" si="1"/>
        <v/>
      </c>
      <c r="BM72" s="31"/>
      <c r="BN72" s="31" t="str">
        <f t="shared" si="2"/>
        <v/>
      </c>
      <c r="BO72" s="15" t="s">
        <v>147</v>
      </c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 t="str">
        <f t="shared" si="3"/>
        <v> </v>
      </c>
      <c r="CF72" s="33"/>
      <c r="CG72" s="33"/>
      <c r="CH72" s="15"/>
      <c r="CI72" s="22"/>
      <c r="CJ72" s="15"/>
      <c r="CK72" s="15"/>
      <c r="CL72" s="15"/>
      <c r="CM72" s="15"/>
      <c r="CN72" s="30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</row>
    <row r="73" ht="14.25" customHeight="1">
      <c r="A73" s="15"/>
      <c r="B73" s="15"/>
      <c r="C73" s="15" t="s">
        <v>140</v>
      </c>
      <c r="D73" s="15" t="s">
        <v>142</v>
      </c>
      <c r="E73" s="15" t="s">
        <v>139</v>
      </c>
      <c r="F73" s="15" t="s">
        <v>144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>
        <v>1.0</v>
      </c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30"/>
      <c r="BK73" s="30"/>
      <c r="BL73" s="30" t="str">
        <f t="shared" si="1"/>
        <v/>
      </c>
      <c r="BM73" s="31"/>
      <c r="BN73" s="31" t="str">
        <f t="shared" si="2"/>
        <v/>
      </c>
      <c r="BO73" s="15" t="s">
        <v>147</v>
      </c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 t="str">
        <f t="shared" si="3"/>
        <v> </v>
      </c>
      <c r="CF73" s="33"/>
      <c r="CG73" s="33"/>
      <c r="CH73" s="15"/>
      <c r="CI73" s="22"/>
      <c r="CJ73" s="15"/>
      <c r="CK73" s="15"/>
      <c r="CL73" s="15"/>
      <c r="CM73" s="15"/>
      <c r="CN73" s="30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</row>
    <row r="74" ht="14.25" customHeight="1">
      <c r="A74" s="15"/>
      <c r="B74" s="15"/>
      <c r="C74" s="15" t="s">
        <v>140</v>
      </c>
      <c r="D74" s="15" t="s">
        <v>142</v>
      </c>
      <c r="E74" s="15" t="s">
        <v>139</v>
      </c>
      <c r="F74" s="15" t="s">
        <v>144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>
        <v>1.0</v>
      </c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30"/>
      <c r="BK74" s="30"/>
      <c r="BL74" s="30" t="str">
        <f t="shared" si="1"/>
        <v/>
      </c>
      <c r="BM74" s="31"/>
      <c r="BN74" s="31" t="str">
        <f t="shared" si="2"/>
        <v/>
      </c>
      <c r="BO74" s="15" t="s">
        <v>147</v>
      </c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 t="str">
        <f t="shared" si="3"/>
        <v> </v>
      </c>
      <c r="CF74" s="33"/>
      <c r="CG74" s="33"/>
      <c r="CH74" s="15"/>
      <c r="CI74" s="22"/>
      <c r="CJ74" s="15"/>
      <c r="CK74" s="15"/>
      <c r="CL74" s="15"/>
      <c r="CM74" s="15"/>
      <c r="CN74" s="30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</row>
    <row r="75" ht="14.25" customHeight="1">
      <c r="A75" s="15"/>
      <c r="B75" s="15"/>
      <c r="C75" s="15" t="s">
        <v>140</v>
      </c>
      <c r="D75" s="15" t="s">
        <v>142</v>
      </c>
      <c r="E75" s="15" t="s">
        <v>139</v>
      </c>
      <c r="F75" s="15" t="s">
        <v>144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>
        <v>1.0</v>
      </c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30"/>
      <c r="BK75" s="30"/>
      <c r="BL75" s="30" t="str">
        <f t="shared" si="1"/>
        <v/>
      </c>
      <c r="BM75" s="31"/>
      <c r="BN75" s="31" t="str">
        <f t="shared" si="2"/>
        <v/>
      </c>
      <c r="BO75" s="15" t="s">
        <v>147</v>
      </c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 t="str">
        <f t="shared" si="3"/>
        <v> </v>
      </c>
      <c r="CF75" s="33"/>
      <c r="CG75" s="33"/>
      <c r="CH75" s="15"/>
      <c r="CI75" s="22"/>
      <c r="CJ75" s="15"/>
      <c r="CK75" s="15"/>
      <c r="CL75" s="15"/>
      <c r="CM75" s="15"/>
      <c r="CN75" s="30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</row>
    <row r="76" ht="14.25" customHeight="1">
      <c r="A76" s="15"/>
      <c r="B76" s="15"/>
      <c r="C76" s="15" t="s">
        <v>140</v>
      </c>
      <c r="D76" s="15" t="s">
        <v>142</v>
      </c>
      <c r="E76" s="15" t="s">
        <v>139</v>
      </c>
      <c r="F76" s="15" t="s">
        <v>144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>
        <v>1.0</v>
      </c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30"/>
      <c r="BK76" s="30"/>
      <c r="BL76" s="30" t="str">
        <f t="shared" si="1"/>
        <v/>
      </c>
      <c r="BM76" s="31"/>
      <c r="BN76" s="31" t="str">
        <f t="shared" si="2"/>
        <v/>
      </c>
      <c r="BO76" s="15" t="s">
        <v>147</v>
      </c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 t="str">
        <f t="shared" si="3"/>
        <v> </v>
      </c>
      <c r="CF76" s="33"/>
      <c r="CG76" s="33"/>
      <c r="CH76" s="15"/>
      <c r="CI76" s="22"/>
      <c r="CJ76" s="15"/>
      <c r="CK76" s="15"/>
      <c r="CL76" s="15"/>
      <c r="CM76" s="15"/>
      <c r="CN76" s="30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</row>
    <row r="77" ht="14.25" customHeight="1">
      <c r="A77" s="15"/>
      <c r="B77" s="15"/>
      <c r="C77" s="15" t="s">
        <v>140</v>
      </c>
      <c r="D77" s="15" t="s">
        <v>142</v>
      </c>
      <c r="E77" s="15" t="s">
        <v>139</v>
      </c>
      <c r="F77" s="15" t="s">
        <v>144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>
        <v>1.0</v>
      </c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30"/>
      <c r="BK77" s="30"/>
      <c r="BL77" s="30" t="str">
        <f t="shared" si="1"/>
        <v/>
      </c>
      <c r="BM77" s="31"/>
      <c r="BN77" s="31" t="str">
        <f t="shared" si="2"/>
        <v/>
      </c>
      <c r="BO77" s="15" t="s">
        <v>147</v>
      </c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 t="str">
        <f t="shared" si="3"/>
        <v> </v>
      </c>
      <c r="CF77" s="33"/>
      <c r="CG77" s="33"/>
      <c r="CH77" s="15"/>
      <c r="CI77" s="22"/>
      <c r="CJ77" s="15"/>
      <c r="CK77" s="15"/>
      <c r="CL77" s="15"/>
      <c r="CM77" s="15"/>
      <c r="CN77" s="30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</row>
    <row r="78" ht="14.25" customHeight="1">
      <c r="A78" s="15"/>
      <c r="B78" s="15"/>
      <c r="C78" s="15" t="s">
        <v>140</v>
      </c>
      <c r="D78" s="15" t="s">
        <v>142</v>
      </c>
      <c r="E78" s="15" t="s">
        <v>139</v>
      </c>
      <c r="F78" s="15" t="s">
        <v>144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>
        <v>1.0</v>
      </c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30"/>
      <c r="BK78" s="30"/>
      <c r="BL78" s="30" t="str">
        <f t="shared" si="1"/>
        <v/>
      </c>
      <c r="BM78" s="31"/>
      <c r="BN78" s="31" t="str">
        <f t="shared" si="2"/>
        <v/>
      </c>
      <c r="BO78" s="15" t="s">
        <v>147</v>
      </c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 t="str">
        <f t="shared" si="3"/>
        <v> </v>
      </c>
      <c r="CF78" s="33"/>
      <c r="CG78" s="33"/>
      <c r="CH78" s="15"/>
      <c r="CI78" s="22"/>
      <c r="CJ78" s="15"/>
      <c r="CK78" s="15"/>
      <c r="CL78" s="15"/>
      <c r="CM78" s="15"/>
      <c r="CN78" s="30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</row>
    <row r="79" ht="14.25" customHeight="1">
      <c r="A79" s="15"/>
      <c r="B79" s="15"/>
      <c r="C79" s="15" t="s">
        <v>140</v>
      </c>
      <c r="D79" s="15" t="s">
        <v>142</v>
      </c>
      <c r="E79" s="15" t="s">
        <v>139</v>
      </c>
      <c r="F79" s="15" t="s">
        <v>144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>
        <v>1.0</v>
      </c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30"/>
      <c r="BK79" s="30"/>
      <c r="BL79" s="30" t="str">
        <f t="shared" si="1"/>
        <v/>
      </c>
      <c r="BM79" s="31"/>
      <c r="BN79" s="31" t="str">
        <f t="shared" si="2"/>
        <v/>
      </c>
      <c r="BO79" s="15" t="s">
        <v>147</v>
      </c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 t="str">
        <f t="shared" si="3"/>
        <v> </v>
      </c>
      <c r="CF79" s="33"/>
      <c r="CG79" s="33"/>
      <c r="CH79" s="15"/>
      <c r="CI79" s="22"/>
      <c r="CJ79" s="15"/>
      <c r="CK79" s="15"/>
      <c r="CL79" s="15"/>
      <c r="CM79" s="15"/>
      <c r="CN79" s="30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</row>
    <row r="80" ht="14.25" customHeight="1">
      <c r="A80" s="15"/>
      <c r="B80" s="15"/>
      <c r="C80" s="15" t="s">
        <v>140</v>
      </c>
      <c r="D80" s="15" t="s">
        <v>142</v>
      </c>
      <c r="E80" s="15" t="s">
        <v>139</v>
      </c>
      <c r="F80" s="15" t="s">
        <v>144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>
        <v>1.0</v>
      </c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30"/>
      <c r="BK80" s="30"/>
      <c r="BL80" s="30" t="str">
        <f t="shared" si="1"/>
        <v/>
      </c>
      <c r="BM80" s="31"/>
      <c r="BN80" s="31" t="str">
        <f t="shared" si="2"/>
        <v/>
      </c>
      <c r="BO80" s="15" t="s">
        <v>147</v>
      </c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 t="str">
        <f t="shared" si="3"/>
        <v> </v>
      </c>
      <c r="CF80" s="33"/>
      <c r="CG80" s="33"/>
      <c r="CH80" s="15"/>
      <c r="CI80" s="22"/>
      <c r="CJ80" s="15"/>
      <c r="CK80" s="15"/>
      <c r="CL80" s="15"/>
      <c r="CM80" s="15"/>
      <c r="CN80" s="30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</row>
    <row r="81" ht="14.25" customHeight="1">
      <c r="A81" s="15"/>
      <c r="B81" s="15"/>
      <c r="C81" s="15" t="s">
        <v>140</v>
      </c>
      <c r="D81" s="15" t="s">
        <v>142</v>
      </c>
      <c r="E81" s="15" t="s">
        <v>139</v>
      </c>
      <c r="F81" s="15" t="s">
        <v>144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>
        <v>1.0</v>
      </c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30"/>
      <c r="BK81" s="30"/>
      <c r="BL81" s="30" t="str">
        <f t="shared" si="1"/>
        <v/>
      </c>
      <c r="BM81" s="31"/>
      <c r="BN81" s="31" t="str">
        <f t="shared" si="2"/>
        <v/>
      </c>
      <c r="BO81" s="15" t="s">
        <v>147</v>
      </c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 t="str">
        <f t="shared" si="3"/>
        <v> </v>
      </c>
      <c r="CF81" s="33"/>
      <c r="CG81" s="33"/>
      <c r="CH81" s="15"/>
      <c r="CI81" s="22"/>
      <c r="CJ81" s="15"/>
      <c r="CK81" s="15"/>
      <c r="CL81" s="15"/>
      <c r="CM81" s="15"/>
      <c r="CN81" s="30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</row>
    <row r="82" ht="14.25" customHeight="1">
      <c r="A82" s="15"/>
      <c r="B82" s="15"/>
      <c r="C82" s="15" t="s">
        <v>140</v>
      </c>
      <c r="D82" s="15" t="s">
        <v>142</v>
      </c>
      <c r="E82" s="15" t="s">
        <v>139</v>
      </c>
      <c r="F82" s="15" t="s">
        <v>144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>
        <v>1.0</v>
      </c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30"/>
      <c r="BK82" s="30"/>
      <c r="BL82" s="30" t="str">
        <f t="shared" si="1"/>
        <v/>
      </c>
      <c r="BM82" s="31"/>
      <c r="BN82" s="31" t="str">
        <f t="shared" si="2"/>
        <v/>
      </c>
      <c r="BO82" s="15" t="s">
        <v>147</v>
      </c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 t="str">
        <f t="shared" si="3"/>
        <v> </v>
      </c>
      <c r="CF82" s="33"/>
      <c r="CG82" s="33"/>
      <c r="CH82" s="15"/>
      <c r="CI82" s="22"/>
      <c r="CJ82" s="15"/>
      <c r="CK82" s="15"/>
      <c r="CL82" s="15"/>
      <c r="CM82" s="15"/>
      <c r="CN82" s="30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</row>
    <row r="83" ht="14.25" customHeight="1">
      <c r="A83" s="15"/>
      <c r="B83" s="15"/>
      <c r="C83" s="15" t="s">
        <v>140</v>
      </c>
      <c r="D83" s="15" t="s">
        <v>142</v>
      </c>
      <c r="E83" s="15" t="s">
        <v>139</v>
      </c>
      <c r="F83" s="15" t="s">
        <v>144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>
        <v>1.0</v>
      </c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30"/>
      <c r="BK83" s="30"/>
      <c r="BL83" s="30" t="str">
        <f t="shared" si="1"/>
        <v/>
      </c>
      <c r="BM83" s="31"/>
      <c r="BN83" s="31" t="str">
        <f t="shared" si="2"/>
        <v/>
      </c>
      <c r="BO83" s="15" t="s">
        <v>147</v>
      </c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 t="str">
        <f t="shared" si="3"/>
        <v> </v>
      </c>
      <c r="CF83" s="33"/>
      <c r="CG83" s="33"/>
      <c r="CH83" s="15"/>
      <c r="CI83" s="22"/>
      <c r="CJ83" s="15"/>
      <c r="CK83" s="15"/>
      <c r="CL83" s="15"/>
      <c r="CM83" s="15"/>
      <c r="CN83" s="30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</row>
    <row r="84" ht="14.25" customHeight="1">
      <c r="A84" s="15"/>
      <c r="B84" s="15"/>
      <c r="C84" s="15" t="s">
        <v>140</v>
      </c>
      <c r="D84" s="15" t="s">
        <v>142</v>
      </c>
      <c r="E84" s="15" t="s">
        <v>139</v>
      </c>
      <c r="F84" s="15" t="s">
        <v>144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>
        <v>1.0</v>
      </c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30"/>
      <c r="BK84" s="30"/>
      <c r="BL84" s="30" t="str">
        <f t="shared" si="1"/>
        <v/>
      </c>
      <c r="BM84" s="31"/>
      <c r="BN84" s="31" t="str">
        <f t="shared" si="2"/>
        <v/>
      </c>
      <c r="BO84" s="15" t="s">
        <v>147</v>
      </c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 t="str">
        <f t="shared" si="3"/>
        <v> </v>
      </c>
      <c r="CF84" s="33"/>
      <c r="CG84" s="33"/>
      <c r="CH84" s="15"/>
      <c r="CI84" s="22"/>
      <c r="CJ84" s="15"/>
      <c r="CK84" s="15"/>
      <c r="CL84" s="15"/>
      <c r="CM84" s="15"/>
      <c r="CN84" s="30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</row>
    <row r="85" ht="14.25" customHeight="1">
      <c r="A85" s="15"/>
      <c r="B85" s="15"/>
      <c r="C85" s="15" t="s">
        <v>140</v>
      </c>
      <c r="D85" s="15" t="s">
        <v>142</v>
      </c>
      <c r="E85" s="15" t="s">
        <v>139</v>
      </c>
      <c r="F85" s="15" t="s">
        <v>144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>
        <v>1.0</v>
      </c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30"/>
      <c r="BK85" s="30"/>
      <c r="BL85" s="30" t="str">
        <f t="shared" si="1"/>
        <v/>
      </c>
      <c r="BM85" s="31"/>
      <c r="BN85" s="31" t="str">
        <f t="shared" si="2"/>
        <v/>
      </c>
      <c r="BO85" s="15" t="s">
        <v>147</v>
      </c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 t="str">
        <f t="shared" si="3"/>
        <v> </v>
      </c>
      <c r="CF85" s="33"/>
      <c r="CG85" s="33"/>
      <c r="CH85" s="15"/>
      <c r="CI85" s="22"/>
      <c r="CJ85" s="15"/>
      <c r="CK85" s="15"/>
      <c r="CL85" s="15"/>
      <c r="CM85" s="15"/>
      <c r="CN85" s="30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</row>
    <row r="86" ht="14.25" customHeight="1">
      <c r="A86" s="15"/>
      <c r="B86" s="15"/>
      <c r="C86" s="15" t="s">
        <v>140</v>
      </c>
      <c r="D86" s="15" t="s">
        <v>142</v>
      </c>
      <c r="E86" s="15" t="s">
        <v>139</v>
      </c>
      <c r="F86" s="15" t="s">
        <v>144</v>
      </c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>
        <v>1.0</v>
      </c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30"/>
      <c r="BK86" s="30"/>
      <c r="BL86" s="30" t="str">
        <f t="shared" si="1"/>
        <v/>
      </c>
      <c r="BM86" s="31"/>
      <c r="BN86" s="31" t="str">
        <f t="shared" si="2"/>
        <v/>
      </c>
      <c r="BO86" s="15" t="s">
        <v>147</v>
      </c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 t="str">
        <f t="shared" si="3"/>
        <v> </v>
      </c>
      <c r="CF86" s="33"/>
      <c r="CG86" s="33"/>
      <c r="CH86" s="15"/>
      <c r="CI86" s="22"/>
      <c r="CJ86" s="15"/>
      <c r="CK86" s="15"/>
      <c r="CL86" s="15"/>
      <c r="CM86" s="15"/>
      <c r="CN86" s="30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</row>
    <row r="87" ht="14.25" customHeight="1">
      <c r="A87" s="15"/>
      <c r="B87" s="15"/>
      <c r="C87" s="15" t="s">
        <v>140</v>
      </c>
      <c r="D87" s="15" t="s">
        <v>142</v>
      </c>
      <c r="E87" s="15" t="s">
        <v>139</v>
      </c>
      <c r="F87" s="15" t="s">
        <v>144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>
        <v>1.0</v>
      </c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30"/>
      <c r="BK87" s="30"/>
      <c r="BL87" s="30" t="str">
        <f t="shared" si="1"/>
        <v/>
      </c>
      <c r="BM87" s="31"/>
      <c r="BN87" s="31" t="str">
        <f t="shared" si="2"/>
        <v/>
      </c>
      <c r="BO87" s="15" t="s">
        <v>147</v>
      </c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 t="str">
        <f t="shared" si="3"/>
        <v> </v>
      </c>
      <c r="CF87" s="33"/>
      <c r="CG87" s="33"/>
      <c r="CH87" s="15"/>
      <c r="CI87" s="22"/>
      <c r="CJ87" s="15"/>
      <c r="CK87" s="15"/>
      <c r="CL87" s="15"/>
      <c r="CM87" s="15"/>
      <c r="CN87" s="30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</row>
    <row r="88" ht="14.25" customHeight="1">
      <c r="A88" s="15"/>
      <c r="B88" s="15"/>
      <c r="C88" s="15" t="s">
        <v>140</v>
      </c>
      <c r="D88" s="15" t="s">
        <v>142</v>
      </c>
      <c r="E88" s="15" t="s">
        <v>139</v>
      </c>
      <c r="F88" s="15" t="s">
        <v>144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>
        <v>1.0</v>
      </c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30"/>
      <c r="BK88" s="30"/>
      <c r="BL88" s="30" t="str">
        <f t="shared" si="1"/>
        <v/>
      </c>
      <c r="BM88" s="31"/>
      <c r="BN88" s="31" t="str">
        <f t="shared" si="2"/>
        <v/>
      </c>
      <c r="BO88" s="15" t="s">
        <v>147</v>
      </c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 t="str">
        <f t="shared" si="3"/>
        <v> </v>
      </c>
      <c r="CF88" s="33"/>
      <c r="CG88" s="33"/>
      <c r="CH88" s="15"/>
      <c r="CI88" s="22"/>
      <c r="CJ88" s="15"/>
      <c r="CK88" s="15"/>
      <c r="CL88" s="15"/>
      <c r="CM88" s="15"/>
      <c r="CN88" s="30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</row>
    <row r="89" ht="14.25" customHeight="1">
      <c r="A89" s="15"/>
      <c r="B89" s="15"/>
      <c r="C89" s="15" t="s">
        <v>140</v>
      </c>
      <c r="D89" s="15" t="s">
        <v>142</v>
      </c>
      <c r="E89" s="15" t="s">
        <v>139</v>
      </c>
      <c r="F89" s="15" t="s">
        <v>144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>
        <v>1.0</v>
      </c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30"/>
      <c r="BK89" s="30"/>
      <c r="BL89" s="30" t="str">
        <f t="shared" si="1"/>
        <v/>
      </c>
      <c r="BM89" s="31"/>
      <c r="BN89" s="31" t="str">
        <f t="shared" si="2"/>
        <v/>
      </c>
      <c r="BO89" s="15" t="s">
        <v>147</v>
      </c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 t="str">
        <f t="shared" si="3"/>
        <v> </v>
      </c>
      <c r="CF89" s="33"/>
      <c r="CG89" s="33"/>
      <c r="CH89" s="15"/>
      <c r="CI89" s="22"/>
      <c r="CJ89" s="15"/>
      <c r="CK89" s="15"/>
      <c r="CL89" s="15"/>
      <c r="CM89" s="15"/>
      <c r="CN89" s="30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</row>
    <row r="90" ht="14.25" customHeight="1">
      <c r="A90" s="15"/>
      <c r="B90" s="15"/>
      <c r="C90" s="15" t="s">
        <v>140</v>
      </c>
      <c r="D90" s="15" t="s">
        <v>142</v>
      </c>
      <c r="E90" s="15" t="s">
        <v>139</v>
      </c>
      <c r="F90" s="15" t="s">
        <v>144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>
        <v>1.0</v>
      </c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30"/>
      <c r="BK90" s="30"/>
      <c r="BL90" s="30" t="str">
        <f t="shared" si="1"/>
        <v/>
      </c>
      <c r="BM90" s="31"/>
      <c r="BN90" s="31" t="str">
        <f t="shared" si="2"/>
        <v/>
      </c>
      <c r="BO90" s="15" t="s">
        <v>147</v>
      </c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 t="str">
        <f t="shared" si="3"/>
        <v> </v>
      </c>
      <c r="CF90" s="33"/>
      <c r="CG90" s="33"/>
      <c r="CH90" s="15"/>
      <c r="CI90" s="22"/>
      <c r="CJ90" s="15"/>
      <c r="CK90" s="15"/>
      <c r="CL90" s="15"/>
      <c r="CM90" s="15"/>
      <c r="CN90" s="30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</row>
    <row r="91" ht="14.25" customHeight="1">
      <c r="A91" s="15"/>
      <c r="B91" s="15"/>
      <c r="C91" s="15" t="s">
        <v>140</v>
      </c>
      <c r="D91" s="15" t="s">
        <v>142</v>
      </c>
      <c r="E91" s="15" t="s">
        <v>139</v>
      </c>
      <c r="F91" s="15" t="s">
        <v>144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>
        <v>1.0</v>
      </c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30"/>
      <c r="BK91" s="30"/>
      <c r="BL91" s="30" t="str">
        <f t="shared" si="1"/>
        <v/>
      </c>
      <c r="BM91" s="31"/>
      <c r="BN91" s="31" t="str">
        <f t="shared" si="2"/>
        <v/>
      </c>
      <c r="BO91" s="15" t="s">
        <v>147</v>
      </c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 t="str">
        <f t="shared" si="3"/>
        <v> </v>
      </c>
      <c r="CF91" s="33"/>
      <c r="CG91" s="33"/>
      <c r="CH91" s="15"/>
      <c r="CI91" s="22"/>
      <c r="CJ91" s="15"/>
      <c r="CK91" s="15"/>
      <c r="CL91" s="15"/>
      <c r="CM91" s="15"/>
      <c r="CN91" s="30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</row>
    <row r="92" ht="14.25" customHeight="1">
      <c r="A92" s="15"/>
      <c r="B92" s="15"/>
      <c r="C92" s="15" t="s">
        <v>140</v>
      </c>
      <c r="D92" s="15" t="s">
        <v>142</v>
      </c>
      <c r="E92" s="15" t="s">
        <v>139</v>
      </c>
      <c r="F92" s="15" t="s">
        <v>144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>
        <v>1.0</v>
      </c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30"/>
      <c r="BK92" s="30"/>
      <c r="BL92" s="30" t="str">
        <f t="shared" si="1"/>
        <v/>
      </c>
      <c r="BM92" s="31"/>
      <c r="BN92" s="31" t="str">
        <f t="shared" si="2"/>
        <v/>
      </c>
      <c r="BO92" s="15" t="s">
        <v>147</v>
      </c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 t="str">
        <f t="shared" si="3"/>
        <v> </v>
      </c>
      <c r="CF92" s="33"/>
      <c r="CG92" s="33"/>
      <c r="CH92" s="15"/>
      <c r="CI92" s="22"/>
      <c r="CJ92" s="15"/>
      <c r="CK92" s="15"/>
      <c r="CL92" s="15"/>
      <c r="CM92" s="15"/>
      <c r="CN92" s="30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</row>
    <row r="93" ht="14.25" customHeight="1">
      <c r="A93" s="15"/>
      <c r="B93" s="15"/>
      <c r="C93" s="15" t="s">
        <v>140</v>
      </c>
      <c r="D93" s="15" t="s">
        <v>142</v>
      </c>
      <c r="E93" s="15" t="s">
        <v>139</v>
      </c>
      <c r="F93" s="15" t="s">
        <v>144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>
        <v>1.0</v>
      </c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30"/>
      <c r="BK93" s="30"/>
      <c r="BL93" s="30" t="str">
        <f t="shared" si="1"/>
        <v/>
      </c>
      <c r="BM93" s="31"/>
      <c r="BN93" s="31" t="str">
        <f t="shared" si="2"/>
        <v/>
      </c>
      <c r="BO93" s="15" t="s">
        <v>147</v>
      </c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 t="str">
        <f t="shared" si="3"/>
        <v> </v>
      </c>
      <c r="CF93" s="33"/>
      <c r="CG93" s="33"/>
      <c r="CH93" s="15"/>
      <c r="CI93" s="22"/>
      <c r="CJ93" s="15"/>
      <c r="CK93" s="15"/>
      <c r="CL93" s="15"/>
      <c r="CM93" s="15"/>
      <c r="CN93" s="30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</row>
    <row r="94" ht="14.25" customHeight="1">
      <c r="A94" s="15"/>
      <c r="B94" s="15"/>
      <c r="C94" s="15" t="s">
        <v>140</v>
      </c>
      <c r="D94" s="15" t="s">
        <v>142</v>
      </c>
      <c r="E94" s="15" t="s">
        <v>139</v>
      </c>
      <c r="F94" s="15" t="s">
        <v>144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>
        <v>1.0</v>
      </c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30"/>
      <c r="BK94" s="30"/>
      <c r="BL94" s="30" t="str">
        <f t="shared" si="1"/>
        <v/>
      </c>
      <c r="BM94" s="31"/>
      <c r="BN94" s="31" t="str">
        <f t="shared" si="2"/>
        <v/>
      </c>
      <c r="BO94" s="15" t="s">
        <v>147</v>
      </c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 t="str">
        <f t="shared" si="3"/>
        <v> </v>
      </c>
      <c r="CF94" s="33"/>
      <c r="CG94" s="33"/>
      <c r="CH94" s="15"/>
      <c r="CI94" s="22"/>
      <c r="CJ94" s="15"/>
      <c r="CK94" s="15"/>
      <c r="CL94" s="15"/>
      <c r="CM94" s="15"/>
      <c r="CN94" s="30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</row>
    <row r="95" ht="14.25" customHeight="1">
      <c r="A95" s="15"/>
      <c r="B95" s="15"/>
      <c r="C95" s="15" t="s">
        <v>140</v>
      </c>
      <c r="D95" s="15" t="s">
        <v>142</v>
      </c>
      <c r="E95" s="15" t="s">
        <v>139</v>
      </c>
      <c r="F95" s="15" t="s">
        <v>144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>
        <v>1.0</v>
      </c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30"/>
      <c r="BK95" s="30"/>
      <c r="BL95" s="30" t="str">
        <f t="shared" si="1"/>
        <v/>
      </c>
      <c r="BM95" s="31"/>
      <c r="BN95" s="31" t="str">
        <f t="shared" si="2"/>
        <v/>
      </c>
      <c r="BO95" s="15" t="s">
        <v>147</v>
      </c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 t="str">
        <f t="shared" si="3"/>
        <v> </v>
      </c>
      <c r="CF95" s="33"/>
      <c r="CG95" s="33"/>
      <c r="CH95" s="15"/>
      <c r="CI95" s="22"/>
      <c r="CJ95" s="15"/>
      <c r="CK95" s="15"/>
      <c r="CL95" s="15"/>
      <c r="CM95" s="15"/>
      <c r="CN95" s="30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</row>
    <row r="96" ht="14.25" customHeight="1">
      <c r="A96" s="15"/>
      <c r="B96" s="15"/>
      <c r="C96" s="15" t="s">
        <v>140</v>
      </c>
      <c r="D96" s="15" t="s">
        <v>142</v>
      </c>
      <c r="E96" s="15" t="s">
        <v>139</v>
      </c>
      <c r="F96" s="15" t="s">
        <v>144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>
        <v>1.0</v>
      </c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30"/>
      <c r="BK96" s="30"/>
      <c r="BL96" s="30" t="str">
        <f t="shared" si="1"/>
        <v/>
      </c>
      <c r="BM96" s="31"/>
      <c r="BN96" s="31" t="str">
        <f t="shared" si="2"/>
        <v/>
      </c>
      <c r="BO96" s="15" t="s">
        <v>147</v>
      </c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 t="str">
        <f t="shared" si="3"/>
        <v> </v>
      </c>
      <c r="CF96" s="33"/>
      <c r="CG96" s="33"/>
      <c r="CH96" s="15"/>
      <c r="CI96" s="22"/>
      <c r="CJ96" s="15"/>
      <c r="CK96" s="15"/>
      <c r="CL96" s="15"/>
      <c r="CM96" s="15"/>
      <c r="CN96" s="30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</row>
    <row r="97" ht="14.25" customHeight="1">
      <c r="A97" s="15"/>
      <c r="B97" s="15"/>
      <c r="C97" s="15" t="s">
        <v>140</v>
      </c>
      <c r="D97" s="15" t="s">
        <v>142</v>
      </c>
      <c r="E97" s="15" t="s">
        <v>139</v>
      </c>
      <c r="F97" s="15" t="s">
        <v>144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>
        <v>1.0</v>
      </c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30"/>
      <c r="BK97" s="30"/>
      <c r="BL97" s="30" t="str">
        <f t="shared" si="1"/>
        <v/>
      </c>
      <c r="BM97" s="31"/>
      <c r="BN97" s="31" t="str">
        <f t="shared" si="2"/>
        <v/>
      </c>
      <c r="BO97" s="15" t="s">
        <v>147</v>
      </c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 t="str">
        <f t="shared" si="3"/>
        <v> </v>
      </c>
      <c r="CF97" s="33"/>
      <c r="CG97" s="33"/>
      <c r="CH97" s="15"/>
      <c r="CI97" s="22"/>
      <c r="CJ97" s="15"/>
      <c r="CK97" s="15"/>
      <c r="CL97" s="15"/>
      <c r="CM97" s="15"/>
      <c r="CN97" s="30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</row>
    <row r="98" ht="14.25" customHeight="1">
      <c r="A98" s="15"/>
      <c r="B98" s="15"/>
      <c r="C98" s="15" t="s">
        <v>140</v>
      </c>
      <c r="D98" s="15" t="s">
        <v>142</v>
      </c>
      <c r="E98" s="15" t="s">
        <v>139</v>
      </c>
      <c r="F98" s="15" t="s">
        <v>144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>
        <v>1.0</v>
      </c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30"/>
      <c r="BK98" s="30"/>
      <c r="BL98" s="30" t="str">
        <f t="shared" si="1"/>
        <v/>
      </c>
      <c r="BM98" s="31"/>
      <c r="BN98" s="31" t="str">
        <f t="shared" si="2"/>
        <v/>
      </c>
      <c r="BO98" s="15" t="s">
        <v>147</v>
      </c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 t="str">
        <f t="shared" si="3"/>
        <v> </v>
      </c>
      <c r="CF98" s="33"/>
      <c r="CG98" s="33"/>
      <c r="CH98" s="15"/>
      <c r="CI98" s="22"/>
      <c r="CJ98" s="15"/>
      <c r="CK98" s="15"/>
      <c r="CL98" s="15"/>
      <c r="CM98" s="15"/>
      <c r="CN98" s="30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</row>
    <row r="99" ht="14.25" customHeight="1">
      <c r="A99" s="15"/>
      <c r="B99" s="15"/>
      <c r="C99" s="15" t="s">
        <v>140</v>
      </c>
      <c r="D99" s="15" t="s">
        <v>142</v>
      </c>
      <c r="E99" s="15" t="s">
        <v>139</v>
      </c>
      <c r="F99" s="15" t="s">
        <v>144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>
        <v>1.0</v>
      </c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30"/>
      <c r="BK99" s="30"/>
      <c r="BL99" s="30" t="str">
        <f t="shared" si="1"/>
        <v/>
      </c>
      <c r="BM99" s="31"/>
      <c r="BN99" s="31" t="str">
        <f t="shared" si="2"/>
        <v/>
      </c>
      <c r="BO99" s="15" t="s">
        <v>147</v>
      </c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 t="str">
        <f t="shared" si="3"/>
        <v> </v>
      </c>
      <c r="CF99" s="33"/>
      <c r="CG99" s="33"/>
      <c r="CH99" s="15"/>
      <c r="CI99" s="22"/>
      <c r="CJ99" s="15"/>
      <c r="CK99" s="15"/>
      <c r="CL99" s="15"/>
      <c r="CM99" s="15"/>
      <c r="CN99" s="30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</row>
    <row r="100" ht="14.25" customHeight="1">
      <c r="A100" s="15"/>
      <c r="B100" s="15"/>
      <c r="C100" s="15" t="s">
        <v>140</v>
      </c>
      <c r="D100" s="15" t="s">
        <v>142</v>
      </c>
      <c r="E100" s="15" t="s">
        <v>139</v>
      </c>
      <c r="F100" s="15" t="s">
        <v>144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>
        <v>1.0</v>
      </c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30"/>
      <c r="BK100" s="30"/>
      <c r="BL100" s="30" t="str">
        <f t="shared" si="1"/>
        <v/>
      </c>
      <c r="BM100" s="31"/>
      <c r="BN100" s="31" t="str">
        <f t="shared" si="2"/>
        <v/>
      </c>
      <c r="BO100" s="15" t="s">
        <v>147</v>
      </c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 t="str">
        <f t="shared" si="3"/>
        <v> </v>
      </c>
      <c r="CF100" s="33"/>
      <c r="CG100" s="33"/>
      <c r="CH100" s="15"/>
      <c r="CI100" s="22"/>
      <c r="CJ100" s="15"/>
      <c r="CK100" s="15"/>
      <c r="CL100" s="15"/>
      <c r="CM100" s="15"/>
      <c r="CN100" s="30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</row>
    <row r="101" ht="14.25" customHeight="1">
      <c r="A101" s="15"/>
      <c r="B101" s="15"/>
      <c r="C101" s="15" t="s">
        <v>140</v>
      </c>
      <c r="D101" s="15" t="s">
        <v>142</v>
      </c>
      <c r="E101" s="15" t="s">
        <v>139</v>
      </c>
      <c r="F101" s="15" t="s">
        <v>144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>
        <v>1.0</v>
      </c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30"/>
      <c r="BK101" s="30"/>
      <c r="BL101" s="30" t="str">
        <f t="shared" si="1"/>
        <v/>
      </c>
      <c r="BM101" s="31"/>
      <c r="BN101" s="31" t="str">
        <f t="shared" si="2"/>
        <v/>
      </c>
      <c r="BO101" s="15" t="s">
        <v>147</v>
      </c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 t="str">
        <f t="shared" si="3"/>
        <v> </v>
      </c>
      <c r="CF101" s="33"/>
      <c r="CG101" s="33"/>
      <c r="CH101" s="15"/>
      <c r="CI101" s="22"/>
      <c r="CJ101" s="15"/>
      <c r="CK101" s="15"/>
      <c r="CL101" s="15"/>
      <c r="CM101" s="15"/>
      <c r="CN101" s="30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</row>
    <row r="102" ht="14.25" customHeight="1">
      <c r="A102" s="15"/>
      <c r="B102" s="15"/>
      <c r="C102" s="15" t="s">
        <v>140</v>
      </c>
      <c r="D102" s="15" t="s">
        <v>142</v>
      </c>
      <c r="E102" s="15" t="s">
        <v>139</v>
      </c>
      <c r="F102" s="15" t="s">
        <v>144</v>
      </c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>
        <v>1.0</v>
      </c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30"/>
      <c r="BK102" s="30"/>
      <c r="BL102" s="30" t="str">
        <f t="shared" si="1"/>
        <v/>
      </c>
      <c r="BM102" s="31"/>
      <c r="BN102" s="31" t="str">
        <f t="shared" si="2"/>
        <v/>
      </c>
      <c r="BO102" s="15" t="s">
        <v>147</v>
      </c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 t="str">
        <f t="shared" si="3"/>
        <v> </v>
      </c>
      <c r="CF102" s="33"/>
      <c r="CG102" s="33"/>
      <c r="CH102" s="15"/>
      <c r="CI102" s="22"/>
      <c r="CJ102" s="15"/>
      <c r="CK102" s="15"/>
      <c r="CL102" s="15"/>
      <c r="CM102" s="15"/>
      <c r="CN102" s="30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</row>
    <row r="103" ht="14.25" customHeight="1">
      <c r="A103" s="15"/>
      <c r="B103" s="15"/>
      <c r="C103" s="15" t="s">
        <v>140</v>
      </c>
      <c r="D103" s="15" t="s">
        <v>142</v>
      </c>
      <c r="E103" s="15" t="s">
        <v>139</v>
      </c>
      <c r="F103" s="15" t="s">
        <v>144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>
        <v>1.0</v>
      </c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30"/>
      <c r="BK103" s="30"/>
      <c r="BL103" s="30" t="str">
        <f t="shared" si="1"/>
        <v/>
      </c>
      <c r="BM103" s="31"/>
      <c r="BN103" s="31" t="str">
        <f t="shared" si="2"/>
        <v/>
      </c>
      <c r="BO103" s="15" t="s">
        <v>147</v>
      </c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 t="str">
        <f t="shared" si="3"/>
        <v> </v>
      </c>
      <c r="CF103" s="33"/>
      <c r="CG103" s="33"/>
      <c r="CH103" s="15"/>
      <c r="CI103" s="22"/>
      <c r="CJ103" s="15"/>
      <c r="CK103" s="15"/>
      <c r="CL103" s="15"/>
      <c r="CM103" s="15"/>
      <c r="CN103" s="30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</row>
    <row r="104" ht="14.25" customHeight="1">
      <c r="A104" s="15"/>
      <c r="B104" s="15"/>
      <c r="C104" s="15" t="s">
        <v>140</v>
      </c>
      <c r="D104" s="15" t="s">
        <v>142</v>
      </c>
      <c r="E104" s="15" t="s">
        <v>139</v>
      </c>
      <c r="F104" s="15" t="s">
        <v>144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>
        <v>1.0</v>
      </c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30"/>
      <c r="BK104" s="30"/>
      <c r="BL104" s="30" t="str">
        <f t="shared" si="1"/>
        <v/>
      </c>
      <c r="BM104" s="31"/>
      <c r="BN104" s="31" t="str">
        <f t="shared" si="2"/>
        <v/>
      </c>
      <c r="BO104" s="15" t="s">
        <v>147</v>
      </c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 t="str">
        <f t="shared" si="3"/>
        <v> </v>
      </c>
      <c r="CF104" s="33"/>
      <c r="CG104" s="33"/>
      <c r="CH104" s="15"/>
      <c r="CI104" s="22"/>
      <c r="CJ104" s="15"/>
      <c r="CK104" s="15"/>
      <c r="CL104" s="15"/>
      <c r="CM104" s="15"/>
      <c r="CN104" s="30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</row>
    <row r="105" ht="14.25" customHeight="1">
      <c r="A105" s="15"/>
      <c r="B105" s="15"/>
      <c r="C105" s="15" t="s">
        <v>140</v>
      </c>
      <c r="D105" s="15" t="s">
        <v>142</v>
      </c>
      <c r="E105" s="15" t="s">
        <v>139</v>
      </c>
      <c r="F105" s="15" t="s">
        <v>144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>
        <v>1.0</v>
      </c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30"/>
      <c r="BK105" s="30"/>
      <c r="BL105" s="30" t="str">
        <f t="shared" si="1"/>
        <v/>
      </c>
      <c r="BM105" s="31"/>
      <c r="BN105" s="31" t="str">
        <f t="shared" si="2"/>
        <v/>
      </c>
      <c r="BO105" s="15" t="s">
        <v>147</v>
      </c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 t="str">
        <f t="shared" si="3"/>
        <v> </v>
      </c>
      <c r="CF105" s="33"/>
      <c r="CG105" s="33"/>
      <c r="CH105" s="15"/>
      <c r="CI105" s="22"/>
      <c r="CJ105" s="15"/>
      <c r="CK105" s="15"/>
      <c r="CL105" s="15"/>
      <c r="CM105" s="15"/>
      <c r="CN105" s="30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</row>
    <row r="106" ht="14.25" customHeight="1">
      <c r="A106" s="15"/>
      <c r="B106" s="15"/>
      <c r="C106" s="15" t="s">
        <v>140</v>
      </c>
      <c r="D106" s="15" t="s">
        <v>142</v>
      </c>
      <c r="E106" s="15" t="s">
        <v>139</v>
      </c>
      <c r="F106" s="15" t="s">
        <v>144</v>
      </c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>
        <v>1.0</v>
      </c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30"/>
      <c r="BK106" s="30"/>
      <c r="BL106" s="30" t="str">
        <f t="shared" si="1"/>
        <v/>
      </c>
      <c r="BM106" s="31"/>
      <c r="BN106" s="31" t="str">
        <f t="shared" si="2"/>
        <v/>
      </c>
      <c r="BO106" s="15" t="s">
        <v>147</v>
      </c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 t="str">
        <f t="shared" si="3"/>
        <v> </v>
      </c>
      <c r="CF106" s="33"/>
      <c r="CG106" s="33"/>
      <c r="CH106" s="15"/>
      <c r="CI106" s="22"/>
      <c r="CJ106" s="15"/>
      <c r="CK106" s="15"/>
      <c r="CL106" s="15"/>
      <c r="CM106" s="15"/>
      <c r="CN106" s="30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</row>
    <row r="107" ht="14.25" customHeight="1">
      <c r="A107" s="15"/>
      <c r="B107" s="15"/>
      <c r="C107" s="15" t="s">
        <v>140</v>
      </c>
      <c r="D107" s="15" t="s">
        <v>142</v>
      </c>
      <c r="E107" s="15" t="s">
        <v>139</v>
      </c>
      <c r="F107" s="15" t="s">
        <v>144</v>
      </c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>
        <v>1.0</v>
      </c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30"/>
      <c r="BK107" s="30"/>
      <c r="BL107" s="30" t="str">
        <f t="shared" si="1"/>
        <v/>
      </c>
      <c r="BM107" s="31"/>
      <c r="BN107" s="31" t="str">
        <f t="shared" si="2"/>
        <v/>
      </c>
      <c r="BO107" s="15" t="s">
        <v>147</v>
      </c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 t="str">
        <f t="shared" si="3"/>
        <v> </v>
      </c>
      <c r="CF107" s="33"/>
      <c r="CG107" s="33"/>
      <c r="CH107" s="15"/>
      <c r="CI107" s="22"/>
      <c r="CJ107" s="15"/>
      <c r="CK107" s="15"/>
      <c r="CL107" s="15"/>
      <c r="CM107" s="15"/>
      <c r="CN107" s="30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</row>
    <row r="108" ht="14.25" customHeight="1">
      <c r="A108" s="15"/>
      <c r="B108" s="15"/>
      <c r="C108" s="15" t="s">
        <v>140</v>
      </c>
      <c r="D108" s="15" t="s">
        <v>142</v>
      </c>
      <c r="E108" s="15" t="s">
        <v>139</v>
      </c>
      <c r="F108" s="15" t="s">
        <v>144</v>
      </c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>
        <v>1.0</v>
      </c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30"/>
      <c r="BK108" s="30"/>
      <c r="BL108" s="30" t="str">
        <f t="shared" si="1"/>
        <v/>
      </c>
      <c r="BM108" s="31"/>
      <c r="BN108" s="31" t="str">
        <f t="shared" si="2"/>
        <v/>
      </c>
      <c r="BO108" s="15" t="s">
        <v>147</v>
      </c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 t="str">
        <f t="shared" si="3"/>
        <v> </v>
      </c>
      <c r="CF108" s="33"/>
      <c r="CG108" s="33"/>
      <c r="CH108" s="15"/>
      <c r="CI108" s="22"/>
      <c r="CJ108" s="15"/>
      <c r="CK108" s="15"/>
      <c r="CL108" s="15"/>
      <c r="CM108" s="15"/>
      <c r="CN108" s="30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</row>
    <row r="109" ht="14.25" customHeight="1">
      <c r="A109" s="15"/>
      <c r="B109" s="15"/>
      <c r="C109" s="15" t="s">
        <v>140</v>
      </c>
      <c r="D109" s="15" t="s">
        <v>142</v>
      </c>
      <c r="E109" s="15" t="s">
        <v>139</v>
      </c>
      <c r="F109" s="15" t="s">
        <v>144</v>
      </c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>
        <v>1.0</v>
      </c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30"/>
      <c r="BK109" s="30"/>
      <c r="BL109" s="30" t="str">
        <f t="shared" si="1"/>
        <v/>
      </c>
      <c r="BM109" s="31"/>
      <c r="BN109" s="31" t="str">
        <f t="shared" si="2"/>
        <v/>
      </c>
      <c r="BO109" s="15" t="s">
        <v>147</v>
      </c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 t="str">
        <f t="shared" si="3"/>
        <v> </v>
      </c>
      <c r="CF109" s="33"/>
      <c r="CG109" s="33"/>
      <c r="CH109" s="15"/>
      <c r="CI109" s="22"/>
      <c r="CJ109" s="15"/>
      <c r="CK109" s="15"/>
      <c r="CL109" s="15"/>
      <c r="CM109" s="15"/>
      <c r="CN109" s="30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</row>
    <row r="110" ht="14.25" customHeight="1">
      <c r="A110" s="15"/>
      <c r="B110" s="15"/>
      <c r="C110" s="15" t="s">
        <v>140</v>
      </c>
      <c r="D110" s="15" t="s">
        <v>142</v>
      </c>
      <c r="E110" s="15" t="s">
        <v>139</v>
      </c>
      <c r="F110" s="15" t="s">
        <v>144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>
        <v>1.0</v>
      </c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30"/>
      <c r="BK110" s="30"/>
      <c r="BL110" s="30" t="str">
        <f t="shared" si="1"/>
        <v/>
      </c>
      <c r="BM110" s="31"/>
      <c r="BN110" s="31" t="str">
        <f t="shared" si="2"/>
        <v/>
      </c>
      <c r="BO110" s="15" t="s">
        <v>147</v>
      </c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 t="str">
        <f t="shared" si="3"/>
        <v> </v>
      </c>
      <c r="CF110" s="33"/>
      <c r="CG110" s="33"/>
      <c r="CH110" s="15"/>
      <c r="CI110" s="22"/>
      <c r="CJ110" s="15"/>
      <c r="CK110" s="15"/>
      <c r="CL110" s="15"/>
      <c r="CM110" s="15"/>
      <c r="CN110" s="30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</row>
    <row r="111" ht="14.25" customHeight="1">
      <c r="A111" s="15"/>
      <c r="B111" s="15"/>
      <c r="C111" s="15" t="s">
        <v>140</v>
      </c>
      <c r="D111" s="15" t="s">
        <v>142</v>
      </c>
      <c r="E111" s="15" t="s">
        <v>139</v>
      </c>
      <c r="F111" s="15" t="s">
        <v>144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>
        <v>1.0</v>
      </c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30"/>
      <c r="BK111" s="30"/>
      <c r="BL111" s="30" t="str">
        <f t="shared" si="1"/>
        <v/>
      </c>
      <c r="BM111" s="31"/>
      <c r="BN111" s="31" t="str">
        <f t="shared" si="2"/>
        <v/>
      </c>
      <c r="BO111" s="15" t="s">
        <v>147</v>
      </c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 t="str">
        <f t="shared" si="3"/>
        <v> </v>
      </c>
      <c r="CF111" s="33"/>
      <c r="CG111" s="33"/>
      <c r="CH111" s="15"/>
      <c r="CI111" s="22"/>
      <c r="CJ111" s="15"/>
      <c r="CK111" s="15"/>
      <c r="CL111" s="15"/>
      <c r="CM111" s="15"/>
      <c r="CN111" s="30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</row>
    <row r="112" ht="14.25" customHeight="1">
      <c r="A112" s="15"/>
      <c r="B112" s="15"/>
      <c r="C112" s="15" t="s">
        <v>140</v>
      </c>
      <c r="D112" s="15" t="s">
        <v>142</v>
      </c>
      <c r="E112" s="15" t="s">
        <v>139</v>
      </c>
      <c r="F112" s="15" t="s">
        <v>144</v>
      </c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>
        <v>1.0</v>
      </c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30"/>
      <c r="BK112" s="30"/>
      <c r="BL112" s="30" t="str">
        <f t="shared" si="1"/>
        <v/>
      </c>
      <c r="BM112" s="31"/>
      <c r="BN112" s="31" t="str">
        <f t="shared" si="2"/>
        <v/>
      </c>
      <c r="BO112" s="15" t="s">
        <v>147</v>
      </c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 t="str">
        <f t="shared" si="3"/>
        <v> </v>
      </c>
      <c r="CF112" s="33"/>
      <c r="CG112" s="33"/>
      <c r="CH112" s="15"/>
      <c r="CI112" s="22"/>
      <c r="CJ112" s="15"/>
      <c r="CK112" s="15"/>
      <c r="CL112" s="15"/>
      <c r="CM112" s="15"/>
      <c r="CN112" s="30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</row>
    <row r="113" ht="14.25" customHeight="1">
      <c r="A113" s="15"/>
      <c r="B113" s="15"/>
      <c r="C113" s="15" t="s">
        <v>140</v>
      </c>
      <c r="D113" s="15" t="s">
        <v>142</v>
      </c>
      <c r="E113" s="15" t="s">
        <v>139</v>
      </c>
      <c r="F113" s="15" t="s">
        <v>144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>
        <v>1.0</v>
      </c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30"/>
      <c r="BK113" s="30"/>
      <c r="BL113" s="30" t="str">
        <f t="shared" si="1"/>
        <v/>
      </c>
      <c r="BM113" s="31"/>
      <c r="BN113" s="31" t="str">
        <f t="shared" si="2"/>
        <v/>
      </c>
      <c r="BO113" s="15" t="s">
        <v>147</v>
      </c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 t="str">
        <f t="shared" si="3"/>
        <v> </v>
      </c>
      <c r="CF113" s="33"/>
      <c r="CG113" s="33"/>
      <c r="CH113" s="15"/>
      <c r="CI113" s="22"/>
      <c r="CJ113" s="15"/>
      <c r="CK113" s="15"/>
      <c r="CL113" s="15"/>
      <c r="CM113" s="15"/>
      <c r="CN113" s="30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</row>
    <row r="114" ht="14.25" customHeight="1">
      <c r="A114" s="15"/>
      <c r="B114" s="15"/>
      <c r="C114" s="15" t="s">
        <v>140</v>
      </c>
      <c r="D114" s="15" t="s">
        <v>142</v>
      </c>
      <c r="E114" s="15" t="s">
        <v>139</v>
      </c>
      <c r="F114" s="15" t="s">
        <v>144</v>
      </c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>
        <v>1.0</v>
      </c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30"/>
      <c r="BK114" s="30"/>
      <c r="BL114" s="30" t="str">
        <f t="shared" si="1"/>
        <v/>
      </c>
      <c r="BM114" s="31"/>
      <c r="BN114" s="31" t="str">
        <f t="shared" si="2"/>
        <v/>
      </c>
      <c r="BO114" s="15" t="s">
        <v>147</v>
      </c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 t="str">
        <f t="shared" si="3"/>
        <v> </v>
      </c>
      <c r="CF114" s="33"/>
      <c r="CG114" s="33"/>
      <c r="CH114" s="15"/>
      <c r="CI114" s="22"/>
      <c r="CJ114" s="15"/>
      <c r="CK114" s="15"/>
      <c r="CL114" s="15"/>
      <c r="CM114" s="15"/>
      <c r="CN114" s="30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</row>
    <row r="115" ht="14.25" customHeight="1">
      <c r="A115" s="15"/>
      <c r="B115" s="15"/>
      <c r="C115" s="15" t="s">
        <v>140</v>
      </c>
      <c r="D115" s="15" t="s">
        <v>142</v>
      </c>
      <c r="E115" s="15" t="s">
        <v>139</v>
      </c>
      <c r="F115" s="15" t="s">
        <v>144</v>
      </c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>
        <v>1.0</v>
      </c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30"/>
      <c r="BK115" s="30"/>
      <c r="BL115" s="30" t="str">
        <f t="shared" si="1"/>
        <v/>
      </c>
      <c r="BM115" s="31"/>
      <c r="BN115" s="31" t="str">
        <f t="shared" si="2"/>
        <v/>
      </c>
      <c r="BO115" s="15" t="s">
        <v>147</v>
      </c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 t="str">
        <f t="shared" si="3"/>
        <v> </v>
      </c>
      <c r="CF115" s="33"/>
      <c r="CG115" s="33"/>
      <c r="CH115" s="15"/>
      <c r="CI115" s="22"/>
      <c r="CJ115" s="15"/>
      <c r="CK115" s="15"/>
      <c r="CL115" s="15"/>
      <c r="CM115" s="15"/>
      <c r="CN115" s="30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</row>
    <row r="116" ht="14.25" customHeight="1">
      <c r="A116" s="15"/>
      <c r="B116" s="15"/>
      <c r="C116" s="15" t="s">
        <v>140</v>
      </c>
      <c r="D116" s="15" t="s">
        <v>142</v>
      </c>
      <c r="E116" s="15" t="s">
        <v>139</v>
      </c>
      <c r="F116" s="15" t="s">
        <v>144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>
        <v>1.0</v>
      </c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30"/>
      <c r="BK116" s="30"/>
      <c r="BL116" s="30" t="str">
        <f t="shared" si="1"/>
        <v/>
      </c>
      <c r="BM116" s="31"/>
      <c r="BN116" s="31" t="str">
        <f t="shared" si="2"/>
        <v/>
      </c>
      <c r="BO116" s="15" t="s">
        <v>147</v>
      </c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 t="str">
        <f t="shared" si="3"/>
        <v> </v>
      </c>
      <c r="CF116" s="33"/>
      <c r="CG116" s="33"/>
      <c r="CH116" s="15"/>
      <c r="CI116" s="22"/>
      <c r="CJ116" s="15"/>
      <c r="CK116" s="15"/>
      <c r="CL116" s="15"/>
      <c r="CM116" s="15"/>
      <c r="CN116" s="30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</row>
    <row r="117" ht="14.25" customHeight="1">
      <c r="A117" s="15"/>
      <c r="B117" s="15"/>
      <c r="C117" s="15" t="s">
        <v>140</v>
      </c>
      <c r="D117" s="15" t="s">
        <v>142</v>
      </c>
      <c r="E117" s="15" t="s">
        <v>139</v>
      </c>
      <c r="F117" s="15" t="s">
        <v>144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>
        <v>1.0</v>
      </c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30"/>
      <c r="BK117" s="30"/>
      <c r="BL117" s="30" t="str">
        <f t="shared" si="1"/>
        <v/>
      </c>
      <c r="BM117" s="31"/>
      <c r="BN117" s="31" t="str">
        <f t="shared" si="2"/>
        <v/>
      </c>
      <c r="BO117" s="15" t="s">
        <v>147</v>
      </c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 t="str">
        <f t="shared" si="3"/>
        <v> </v>
      </c>
      <c r="CF117" s="33"/>
      <c r="CG117" s="33"/>
      <c r="CH117" s="15"/>
      <c r="CI117" s="22"/>
      <c r="CJ117" s="15"/>
      <c r="CK117" s="15"/>
      <c r="CL117" s="15"/>
      <c r="CM117" s="15"/>
      <c r="CN117" s="30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</row>
    <row r="118" ht="14.25" customHeight="1">
      <c r="A118" s="15"/>
      <c r="B118" s="15"/>
      <c r="C118" s="15" t="s">
        <v>140</v>
      </c>
      <c r="D118" s="15" t="s">
        <v>142</v>
      </c>
      <c r="E118" s="15" t="s">
        <v>139</v>
      </c>
      <c r="F118" s="15" t="s">
        <v>144</v>
      </c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>
        <v>1.0</v>
      </c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30"/>
      <c r="BK118" s="30"/>
      <c r="BL118" s="30" t="str">
        <f t="shared" si="1"/>
        <v/>
      </c>
      <c r="BM118" s="31"/>
      <c r="BN118" s="31" t="str">
        <f t="shared" si="2"/>
        <v/>
      </c>
      <c r="BO118" s="15" t="s">
        <v>147</v>
      </c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 t="str">
        <f t="shared" si="3"/>
        <v> </v>
      </c>
      <c r="CF118" s="33"/>
      <c r="CG118" s="33"/>
      <c r="CH118" s="15"/>
      <c r="CI118" s="22"/>
      <c r="CJ118" s="15"/>
      <c r="CK118" s="15"/>
      <c r="CL118" s="15"/>
      <c r="CM118" s="15"/>
      <c r="CN118" s="30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</row>
    <row r="119" ht="14.25" customHeight="1">
      <c r="A119" s="15"/>
      <c r="B119" s="15"/>
      <c r="C119" s="15" t="s">
        <v>140</v>
      </c>
      <c r="D119" s="15" t="s">
        <v>142</v>
      </c>
      <c r="E119" s="15" t="s">
        <v>139</v>
      </c>
      <c r="F119" s="15" t="s">
        <v>144</v>
      </c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>
        <v>1.0</v>
      </c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30"/>
      <c r="BK119" s="30"/>
      <c r="BL119" s="30" t="str">
        <f t="shared" si="1"/>
        <v/>
      </c>
      <c r="BM119" s="31"/>
      <c r="BN119" s="31" t="str">
        <f t="shared" si="2"/>
        <v/>
      </c>
      <c r="BO119" s="15" t="s">
        <v>147</v>
      </c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 t="str">
        <f t="shared" si="3"/>
        <v> </v>
      </c>
      <c r="CF119" s="33"/>
      <c r="CG119" s="33"/>
      <c r="CH119" s="15"/>
      <c r="CI119" s="22"/>
      <c r="CJ119" s="15"/>
      <c r="CK119" s="15"/>
      <c r="CL119" s="15"/>
      <c r="CM119" s="15"/>
      <c r="CN119" s="30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</row>
    <row r="120" ht="14.25" customHeight="1">
      <c r="A120" s="15"/>
      <c r="B120" s="15"/>
      <c r="C120" s="15" t="s">
        <v>140</v>
      </c>
      <c r="D120" s="15" t="s">
        <v>142</v>
      </c>
      <c r="E120" s="15" t="s">
        <v>139</v>
      </c>
      <c r="F120" s="15" t="s">
        <v>144</v>
      </c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>
        <v>1.0</v>
      </c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30"/>
      <c r="BK120" s="30"/>
      <c r="BL120" s="30" t="str">
        <f t="shared" si="1"/>
        <v/>
      </c>
      <c r="BM120" s="31"/>
      <c r="BN120" s="31" t="str">
        <f t="shared" si="2"/>
        <v/>
      </c>
      <c r="BO120" s="15" t="s">
        <v>147</v>
      </c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 t="str">
        <f t="shared" si="3"/>
        <v> </v>
      </c>
      <c r="CF120" s="33"/>
      <c r="CG120" s="33"/>
      <c r="CH120" s="15"/>
      <c r="CI120" s="22"/>
      <c r="CJ120" s="15"/>
      <c r="CK120" s="15"/>
      <c r="CL120" s="15"/>
      <c r="CM120" s="15"/>
      <c r="CN120" s="30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</row>
    <row r="121" ht="14.25" customHeight="1">
      <c r="A121" s="15"/>
      <c r="B121" s="15"/>
      <c r="C121" s="15" t="s">
        <v>140</v>
      </c>
      <c r="D121" s="15" t="s">
        <v>142</v>
      </c>
      <c r="E121" s="15" t="s">
        <v>139</v>
      </c>
      <c r="F121" s="15" t="s">
        <v>144</v>
      </c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>
        <v>1.0</v>
      </c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30"/>
      <c r="BK121" s="30"/>
      <c r="BL121" s="30" t="str">
        <f t="shared" si="1"/>
        <v/>
      </c>
      <c r="BM121" s="31"/>
      <c r="BN121" s="31" t="str">
        <f t="shared" si="2"/>
        <v/>
      </c>
      <c r="BO121" s="15" t="s">
        <v>147</v>
      </c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 t="str">
        <f t="shared" si="3"/>
        <v> </v>
      </c>
      <c r="CF121" s="33"/>
      <c r="CG121" s="33"/>
      <c r="CH121" s="15"/>
      <c r="CI121" s="22"/>
      <c r="CJ121" s="15"/>
      <c r="CK121" s="15"/>
      <c r="CL121" s="15"/>
      <c r="CM121" s="15"/>
      <c r="CN121" s="30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</row>
    <row r="122" ht="14.25" customHeight="1">
      <c r="A122" s="15"/>
      <c r="B122" s="15"/>
      <c r="C122" s="15" t="s">
        <v>140</v>
      </c>
      <c r="D122" s="15" t="s">
        <v>142</v>
      </c>
      <c r="E122" s="15" t="s">
        <v>139</v>
      </c>
      <c r="F122" s="15" t="s">
        <v>144</v>
      </c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>
        <v>1.0</v>
      </c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30"/>
      <c r="BK122" s="30"/>
      <c r="BL122" s="30" t="str">
        <f t="shared" si="1"/>
        <v/>
      </c>
      <c r="BM122" s="31"/>
      <c r="BN122" s="31" t="str">
        <f t="shared" si="2"/>
        <v/>
      </c>
      <c r="BO122" s="15" t="s">
        <v>147</v>
      </c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 t="str">
        <f t="shared" si="3"/>
        <v> </v>
      </c>
      <c r="CF122" s="33"/>
      <c r="CG122" s="33"/>
      <c r="CH122" s="15"/>
      <c r="CI122" s="22"/>
      <c r="CJ122" s="15"/>
      <c r="CK122" s="15"/>
      <c r="CL122" s="15"/>
      <c r="CM122" s="15"/>
      <c r="CN122" s="30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</row>
    <row r="123" ht="14.25" customHeight="1">
      <c r="A123" s="15"/>
      <c r="B123" s="15"/>
      <c r="C123" s="15" t="s">
        <v>140</v>
      </c>
      <c r="D123" s="15" t="s">
        <v>142</v>
      </c>
      <c r="E123" s="15" t="s">
        <v>139</v>
      </c>
      <c r="F123" s="15" t="s">
        <v>144</v>
      </c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>
        <v>1.0</v>
      </c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30"/>
      <c r="BK123" s="30"/>
      <c r="BL123" s="30" t="str">
        <f t="shared" si="1"/>
        <v/>
      </c>
      <c r="BM123" s="31"/>
      <c r="BN123" s="31" t="str">
        <f t="shared" si="2"/>
        <v/>
      </c>
      <c r="BO123" s="15" t="s">
        <v>147</v>
      </c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 t="str">
        <f t="shared" si="3"/>
        <v> </v>
      </c>
      <c r="CF123" s="33"/>
      <c r="CG123" s="33"/>
      <c r="CH123" s="15"/>
      <c r="CI123" s="22"/>
      <c r="CJ123" s="15"/>
      <c r="CK123" s="15"/>
      <c r="CL123" s="15"/>
      <c r="CM123" s="15"/>
      <c r="CN123" s="30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</row>
    <row r="124" ht="14.25" customHeight="1">
      <c r="A124" s="15"/>
      <c r="B124" s="15"/>
      <c r="C124" s="15" t="s">
        <v>140</v>
      </c>
      <c r="D124" s="15" t="s">
        <v>142</v>
      </c>
      <c r="E124" s="15" t="s">
        <v>139</v>
      </c>
      <c r="F124" s="15" t="s">
        <v>144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>
        <v>1.0</v>
      </c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30"/>
      <c r="BK124" s="30"/>
      <c r="BL124" s="30" t="str">
        <f t="shared" si="1"/>
        <v/>
      </c>
      <c r="BM124" s="31"/>
      <c r="BN124" s="31" t="str">
        <f t="shared" si="2"/>
        <v/>
      </c>
      <c r="BO124" s="15" t="s">
        <v>147</v>
      </c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 t="str">
        <f t="shared" si="3"/>
        <v> </v>
      </c>
      <c r="CF124" s="33"/>
      <c r="CG124" s="33"/>
      <c r="CH124" s="15"/>
      <c r="CI124" s="22"/>
      <c r="CJ124" s="15"/>
      <c r="CK124" s="15"/>
      <c r="CL124" s="15"/>
      <c r="CM124" s="15"/>
      <c r="CN124" s="30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</row>
    <row r="125" ht="14.25" customHeight="1">
      <c r="A125" s="15"/>
      <c r="B125" s="15"/>
      <c r="C125" s="15" t="s">
        <v>140</v>
      </c>
      <c r="D125" s="15" t="s">
        <v>142</v>
      </c>
      <c r="E125" s="15" t="s">
        <v>139</v>
      </c>
      <c r="F125" s="15" t="s">
        <v>144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>
        <v>1.0</v>
      </c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30"/>
      <c r="BK125" s="30"/>
      <c r="BL125" s="30" t="str">
        <f t="shared" si="1"/>
        <v/>
      </c>
      <c r="BM125" s="31"/>
      <c r="BN125" s="31" t="str">
        <f t="shared" si="2"/>
        <v/>
      </c>
      <c r="BO125" s="15" t="s">
        <v>147</v>
      </c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 t="str">
        <f t="shared" si="3"/>
        <v> </v>
      </c>
      <c r="CF125" s="33"/>
      <c r="CG125" s="33"/>
      <c r="CH125" s="15"/>
      <c r="CI125" s="22"/>
      <c r="CJ125" s="15"/>
      <c r="CK125" s="15"/>
      <c r="CL125" s="15"/>
      <c r="CM125" s="15"/>
      <c r="CN125" s="30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</row>
    <row r="126" ht="14.25" customHeight="1">
      <c r="A126" s="15"/>
      <c r="B126" s="15"/>
      <c r="C126" s="15" t="s">
        <v>140</v>
      </c>
      <c r="D126" s="15" t="s">
        <v>142</v>
      </c>
      <c r="E126" s="15" t="s">
        <v>139</v>
      </c>
      <c r="F126" s="15" t="s">
        <v>144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>
        <v>1.0</v>
      </c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30"/>
      <c r="BK126" s="30"/>
      <c r="BL126" s="30" t="str">
        <f t="shared" si="1"/>
        <v/>
      </c>
      <c r="BM126" s="31"/>
      <c r="BN126" s="31" t="str">
        <f t="shared" si="2"/>
        <v/>
      </c>
      <c r="BO126" s="15" t="s">
        <v>147</v>
      </c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 t="str">
        <f t="shared" si="3"/>
        <v> </v>
      </c>
      <c r="CF126" s="33"/>
      <c r="CG126" s="33"/>
      <c r="CH126" s="15"/>
      <c r="CI126" s="22"/>
      <c r="CJ126" s="15"/>
      <c r="CK126" s="15"/>
      <c r="CL126" s="15"/>
      <c r="CM126" s="15"/>
      <c r="CN126" s="30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</row>
    <row r="127" ht="14.25" customHeight="1">
      <c r="A127" s="15"/>
      <c r="B127" s="15"/>
      <c r="C127" s="15" t="s">
        <v>140</v>
      </c>
      <c r="D127" s="15" t="s">
        <v>142</v>
      </c>
      <c r="E127" s="15" t="s">
        <v>139</v>
      </c>
      <c r="F127" s="15" t="s">
        <v>144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>
        <v>1.0</v>
      </c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30"/>
      <c r="BK127" s="30"/>
      <c r="BL127" s="30" t="str">
        <f t="shared" si="1"/>
        <v/>
      </c>
      <c r="BM127" s="31"/>
      <c r="BN127" s="31" t="str">
        <f t="shared" si="2"/>
        <v/>
      </c>
      <c r="BO127" s="15" t="s">
        <v>147</v>
      </c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 t="str">
        <f t="shared" si="3"/>
        <v> </v>
      </c>
      <c r="CF127" s="33"/>
      <c r="CG127" s="33"/>
      <c r="CH127" s="15"/>
      <c r="CI127" s="22"/>
      <c r="CJ127" s="15"/>
      <c r="CK127" s="15"/>
      <c r="CL127" s="15"/>
      <c r="CM127" s="15"/>
      <c r="CN127" s="30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</row>
    <row r="128" ht="14.25" customHeight="1">
      <c r="A128" s="15"/>
      <c r="B128" s="15"/>
      <c r="C128" s="15" t="s">
        <v>140</v>
      </c>
      <c r="D128" s="15" t="s">
        <v>142</v>
      </c>
      <c r="E128" s="15" t="s">
        <v>139</v>
      </c>
      <c r="F128" s="15" t="s">
        <v>144</v>
      </c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>
        <v>1.0</v>
      </c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30"/>
      <c r="BK128" s="30"/>
      <c r="BL128" s="30" t="str">
        <f t="shared" si="1"/>
        <v/>
      </c>
      <c r="BM128" s="31"/>
      <c r="BN128" s="31" t="str">
        <f t="shared" si="2"/>
        <v/>
      </c>
      <c r="BO128" s="15" t="s">
        <v>147</v>
      </c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 t="str">
        <f t="shared" si="3"/>
        <v> </v>
      </c>
      <c r="CF128" s="33"/>
      <c r="CG128" s="33"/>
      <c r="CH128" s="15"/>
      <c r="CI128" s="22"/>
      <c r="CJ128" s="15"/>
      <c r="CK128" s="15"/>
      <c r="CL128" s="15"/>
      <c r="CM128" s="15"/>
      <c r="CN128" s="30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</row>
    <row r="129" ht="14.25" customHeight="1">
      <c r="A129" s="15"/>
      <c r="B129" s="15"/>
      <c r="C129" s="15" t="s">
        <v>140</v>
      </c>
      <c r="D129" s="15" t="s">
        <v>142</v>
      </c>
      <c r="E129" s="15" t="s">
        <v>139</v>
      </c>
      <c r="F129" s="15" t="s">
        <v>144</v>
      </c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>
        <v>1.0</v>
      </c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30"/>
      <c r="BK129" s="30"/>
      <c r="BL129" s="30" t="str">
        <f t="shared" si="1"/>
        <v/>
      </c>
      <c r="BM129" s="31"/>
      <c r="BN129" s="31" t="str">
        <f t="shared" si="2"/>
        <v/>
      </c>
      <c r="BO129" s="15" t="s">
        <v>147</v>
      </c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 t="str">
        <f t="shared" si="3"/>
        <v> </v>
      </c>
      <c r="CF129" s="33"/>
      <c r="CG129" s="33"/>
      <c r="CH129" s="15"/>
      <c r="CI129" s="22"/>
      <c r="CJ129" s="15"/>
      <c r="CK129" s="15"/>
      <c r="CL129" s="15"/>
      <c r="CM129" s="15"/>
      <c r="CN129" s="30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</row>
    <row r="130" ht="14.25" customHeight="1">
      <c r="A130" s="15"/>
      <c r="B130" s="15"/>
      <c r="C130" s="15" t="s">
        <v>140</v>
      </c>
      <c r="D130" s="15" t="s">
        <v>142</v>
      </c>
      <c r="E130" s="15" t="s">
        <v>139</v>
      </c>
      <c r="F130" s="15" t="s">
        <v>144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>
        <v>1.0</v>
      </c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30"/>
      <c r="BK130" s="30"/>
      <c r="BL130" s="30" t="str">
        <f t="shared" si="1"/>
        <v/>
      </c>
      <c r="BM130" s="31"/>
      <c r="BN130" s="31" t="str">
        <f t="shared" si="2"/>
        <v/>
      </c>
      <c r="BO130" s="15" t="s">
        <v>147</v>
      </c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 t="str">
        <f t="shared" si="3"/>
        <v> </v>
      </c>
      <c r="CF130" s="33"/>
      <c r="CG130" s="33"/>
      <c r="CH130" s="15"/>
      <c r="CI130" s="22"/>
      <c r="CJ130" s="15"/>
      <c r="CK130" s="15"/>
      <c r="CL130" s="15"/>
      <c r="CM130" s="15"/>
      <c r="CN130" s="30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</row>
    <row r="131" ht="14.25" customHeight="1">
      <c r="A131" s="15"/>
      <c r="B131" s="15"/>
      <c r="C131" s="15" t="s">
        <v>140</v>
      </c>
      <c r="D131" s="15" t="s">
        <v>142</v>
      </c>
      <c r="E131" s="15" t="s">
        <v>139</v>
      </c>
      <c r="F131" s="15" t="s">
        <v>144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>
        <v>1.0</v>
      </c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30"/>
      <c r="BK131" s="30"/>
      <c r="BL131" s="30" t="str">
        <f t="shared" si="1"/>
        <v/>
      </c>
      <c r="BM131" s="31"/>
      <c r="BN131" s="31" t="str">
        <f t="shared" si="2"/>
        <v/>
      </c>
      <c r="BO131" s="15" t="s">
        <v>147</v>
      </c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 t="str">
        <f t="shared" si="3"/>
        <v> </v>
      </c>
      <c r="CF131" s="33"/>
      <c r="CG131" s="33"/>
      <c r="CH131" s="15"/>
      <c r="CI131" s="22"/>
      <c r="CJ131" s="15"/>
      <c r="CK131" s="15"/>
      <c r="CL131" s="15"/>
      <c r="CM131" s="15"/>
      <c r="CN131" s="30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</row>
    <row r="132" ht="14.25" customHeight="1">
      <c r="A132" s="15"/>
      <c r="B132" s="15"/>
      <c r="C132" s="15" t="s">
        <v>140</v>
      </c>
      <c r="D132" s="15" t="s">
        <v>142</v>
      </c>
      <c r="E132" s="15" t="s">
        <v>139</v>
      </c>
      <c r="F132" s="15" t="s">
        <v>144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>
        <v>1.0</v>
      </c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30"/>
      <c r="BK132" s="30"/>
      <c r="BL132" s="30" t="str">
        <f t="shared" si="1"/>
        <v/>
      </c>
      <c r="BM132" s="31"/>
      <c r="BN132" s="31" t="str">
        <f t="shared" si="2"/>
        <v/>
      </c>
      <c r="BO132" s="15" t="s">
        <v>147</v>
      </c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 t="str">
        <f t="shared" si="3"/>
        <v> </v>
      </c>
      <c r="CF132" s="33"/>
      <c r="CG132" s="33"/>
      <c r="CH132" s="15"/>
      <c r="CI132" s="22"/>
      <c r="CJ132" s="15"/>
      <c r="CK132" s="15"/>
      <c r="CL132" s="15"/>
      <c r="CM132" s="15"/>
      <c r="CN132" s="30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</row>
    <row r="133" ht="14.25" customHeight="1">
      <c r="A133" s="15"/>
      <c r="B133" s="15"/>
      <c r="C133" s="15" t="s">
        <v>140</v>
      </c>
      <c r="D133" s="15" t="s">
        <v>142</v>
      </c>
      <c r="E133" s="15" t="s">
        <v>139</v>
      </c>
      <c r="F133" s="15" t="s">
        <v>144</v>
      </c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>
        <v>1.0</v>
      </c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30"/>
      <c r="BK133" s="30"/>
      <c r="BL133" s="30" t="str">
        <f t="shared" si="1"/>
        <v/>
      </c>
      <c r="BM133" s="31"/>
      <c r="BN133" s="31" t="str">
        <f t="shared" si="2"/>
        <v/>
      </c>
      <c r="BO133" s="15" t="s">
        <v>147</v>
      </c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 t="str">
        <f t="shared" si="3"/>
        <v> </v>
      </c>
      <c r="CF133" s="33"/>
      <c r="CG133" s="33"/>
      <c r="CH133" s="15"/>
      <c r="CI133" s="22"/>
      <c r="CJ133" s="15"/>
      <c r="CK133" s="15"/>
      <c r="CL133" s="15"/>
      <c r="CM133" s="15"/>
      <c r="CN133" s="30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</row>
    <row r="134" ht="14.25" customHeight="1">
      <c r="A134" s="15"/>
      <c r="B134" s="15"/>
      <c r="C134" s="15" t="s">
        <v>140</v>
      </c>
      <c r="D134" s="15" t="s">
        <v>142</v>
      </c>
      <c r="E134" s="15" t="s">
        <v>139</v>
      </c>
      <c r="F134" s="15" t="s">
        <v>144</v>
      </c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>
        <v>1.0</v>
      </c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30"/>
      <c r="BK134" s="30"/>
      <c r="BL134" s="30" t="str">
        <f t="shared" si="1"/>
        <v/>
      </c>
      <c r="BM134" s="31"/>
      <c r="BN134" s="31" t="str">
        <f t="shared" si="2"/>
        <v/>
      </c>
      <c r="BO134" s="15" t="s">
        <v>147</v>
      </c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 t="str">
        <f t="shared" si="3"/>
        <v> </v>
      </c>
      <c r="CF134" s="33"/>
      <c r="CG134" s="33"/>
      <c r="CH134" s="15"/>
      <c r="CI134" s="22"/>
      <c r="CJ134" s="15"/>
      <c r="CK134" s="15"/>
      <c r="CL134" s="15"/>
      <c r="CM134" s="15"/>
      <c r="CN134" s="30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</row>
    <row r="135" ht="14.25" customHeight="1">
      <c r="A135" s="15"/>
      <c r="B135" s="15"/>
      <c r="C135" s="15" t="s">
        <v>140</v>
      </c>
      <c r="D135" s="15" t="s">
        <v>142</v>
      </c>
      <c r="E135" s="15" t="s">
        <v>139</v>
      </c>
      <c r="F135" s="15" t="s">
        <v>144</v>
      </c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>
        <v>1.0</v>
      </c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30"/>
      <c r="BK135" s="30"/>
      <c r="BL135" s="30" t="str">
        <f t="shared" si="1"/>
        <v/>
      </c>
      <c r="BM135" s="31"/>
      <c r="BN135" s="31" t="str">
        <f t="shared" si="2"/>
        <v/>
      </c>
      <c r="BO135" s="15" t="s">
        <v>147</v>
      </c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 t="str">
        <f t="shared" si="3"/>
        <v> </v>
      </c>
      <c r="CF135" s="33"/>
      <c r="CG135" s="33"/>
      <c r="CH135" s="15"/>
      <c r="CI135" s="22"/>
      <c r="CJ135" s="15"/>
      <c r="CK135" s="15"/>
      <c r="CL135" s="15"/>
      <c r="CM135" s="15"/>
      <c r="CN135" s="30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</row>
    <row r="136" ht="14.25" customHeight="1">
      <c r="A136" s="15"/>
      <c r="B136" s="15"/>
      <c r="C136" s="15" t="s">
        <v>140</v>
      </c>
      <c r="D136" s="15" t="s">
        <v>142</v>
      </c>
      <c r="E136" s="15" t="s">
        <v>139</v>
      </c>
      <c r="F136" s="15" t="s">
        <v>144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>
        <v>1.0</v>
      </c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30"/>
      <c r="BK136" s="30"/>
      <c r="BL136" s="30" t="str">
        <f t="shared" si="1"/>
        <v/>
      </c>
      <c r="BM136" s="31"/>
      <c r="BN136" s="31" t="str">
        <f t="shared" si="2"/>
        <v/>
      </c>
      <c r="BO136" s="15" t="s">
        <v>147</v>
      </c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 t="str">
        <f t="shared" si="3"/>
        <v> </v>
      </c>
      <c r="CF136" s="33"/>
      <c r="CG136" s="33"/>
      <c r="CH136" s="15"/>
      <c r="CI136" s="22"/>
      <c r="CJ136" s="15"/>
      <c r="CK136" s="15"/>
      <c r="CL136" s="15"/>
      <c r="CM136" s="15"/>
      <c r="CN136" s="30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</row>
    <row r="137" ht="14.25" customHeight="1">
      <c r="A137" s="15"/>
      <c r="B137" s="15"/>
      <c r="C137" s="15" t="s">
        <v>140</v>
      </c>
      <c r="D137" s="15" t="s">
        <v>142</v>
      </c>
      <c r="E137" s="15" t="s">
        <v>139</v>
      </c>
      <c r="F137" s="15" t="s">
        <v>144</v>
      </c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>
        <v>1.0</v>
      </c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30"/>
      <c r="BK137" s="30"/>
      <c r="BL137" s="30" t="str">
        <f t="shared" si="1"/>
        <v/>
      </c>
      <c r="BM137" s="31"/>
      <c r="BN137" s="31" t="str">
        <f t="shared" si="2"/>
        <v/>
      </c>
      <c r="BO137" s="15" t="s">
        <v>147</v>
      </c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 t="str">
        <f t="shared" si="3"/>
        <v> </v>
      </c>
      <c r="CF137" s="33"/>
      <c r="CG137" s="33"/>
      <c r="CH137" s="15"/>
      <c r="CI137" s="22"/>
      <c r="CJ137" s="15"/>
      <c r="CK137" s="15"/>
      <c r="CL137" s="15"/>
      <c r="CM137" s="15"/>
      <c r="CN137" s="30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</row>
    <row r="138" ht="14.25" customHeight="1">
      <c r="A138" s="15"/>
      <c r="B138" s="15"/>
      <c r="C138" s="15" t="s">
        <v>140</v>
      </c>
      <c r="D138" s="15" t="s">
        <v>142</v>
      </c>
      <c r="E138" s="15" t="s">
        <v>139</v>
      </c>
      <c r="F138" s="15" t="s">
        <v>144</v>
      </c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>
        <v>1.0</v>
      </c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30"/>
      <c r="BK138" s="30"/>
      <c r="BL138" s="30" t="str">
        <f t="shared" si="1"/>
        <v/>
      </c>
      <c r="BM138" s="31"/>
      <c r="BN138" s="31" t="str">
        <f t="shared" si="2"/>
        <v/>
      </c>
      <c r="BO138" s="15" t="s">
        <v>147</v>
      </c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 t="str">
        <f t="shared" si="3"/>
        <v> </v>
      </c>
      <c r="CF138" s="33"/>
      <c r="CG138" s="33"/>
      <c r="CH138" s="15"/>
      <c r="CI138" s="22"/>
      <c r="CJ138" s="15"/>
      <c r="CK138" s="15"/>
      <c r="CL138" s="15"/>
      <c r="CM138" s="15"/>
      <c r="CN138" s="30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</row>
    <row r="139" ht="14.25" customHeight="1">
      <c r="A139" s="15"/>
      <c r="B139" s="15"/>
      <c r="C139" s="15" t="s">
        <v>140</v>
      </c>
      <c r="D139" s="15" t="s">
        <v>142</v>
      </c>
      <c r="E139" s="15" t="s">
        <v>139</v>
      </c>
      <c r="F139" s="15" t="s">
        <v>144</v>
      </c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>
        <v>1.0</v>
      </c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30"/>
      <c r="BK139" s="30"/>
      <c r="BL139" s="30" t="str">
        <f t="shared" si="1"/>
        <v/>
      </c>
      <c r="BM139" s="31"/>
      <c r="BN139" s="31" t="str">
        <f t="shared" si="2"/>
        <v/>
      </c>
      <c r="BO139" s="15" t="s">
        <v>147</v>
      </c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 t="str">
        <f t="shared" si="3"/>
        <v> </v>
      </c>
      <c r="CF139" s="33"/>
      <c r="CG139" s="33"/>
      <c r="CH139" s="15"/>
      <c r="CI139" s="22"/>
      <c r="CJ139" s="15"/>
      <c r="CK139" s="15"/>
      <c r="CL139" s="15"/>
      <c r="CM139" s="15"/>
      <c r="CN139" s="30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</row>
    <row r="140" ht="14.25" customHeight="1">
      <c r="A140" s="15"/>
      <c r="B140" s="15"/>
      <c r="C140" s="15" t="s">
        <v>140</v>
      </c>
      <c r="D140" s="15" t="s">
        <v>142</v>
      </c>
      <c r="E140" s="15" t="s">
        <v>139</v>
      </c>
      <c r="F140" s="15" t="s">
        <v>144</v>
      </c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>
        <v>1.0</v>
      </c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30"/>
      <c r="BK140" s="30"/>
      <c r="BL140" s="30" t="str">
        <f t="shared" si="1"/>
        <v/>
      </c>
      <c r="BM140" s="31"/>
      <c r="BN140" s="31" t="str">
        <f t="shared" si="2"/>
        <v/>
      </c>
      <c r="BO140" s="15" t="s">
        <v>147</v>
      </c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 t="str">
        <f t="shared" si="3"/>
        <v> </v>
      </c>
      <c r="CF140" s="33"/>
      <c r="CG140" s="33"/>
      <c r="CH140" s="15"/>
      <c r="CI140" s="22"/>
      <c r="CJ140" s="15"/>
      <c r="CK140" s="15"/>
      <c r="CL140" s="15"/>
      <c r="CM140" s="15"/>
      <c r="CN140" s="30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</row>
    <row r="141" ht="14.25" customHeight="1">
      <c r="A141" s="15"/>
      <c r="B141" s="15"/>
      <c r="C141" s="15" t="s">
        <v>140</v>
      </c>
      <c r="D141" s="15" t="s">
        <v>142</v>
      </c>
      <c r="E141" s="15" t="s">
        <v>139</v>
      </c>
      <c r="F141" s="15" t="s">
        <v>144</v>
      </c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>
        <v>1.0</v>
      </c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30"/>
      <c r="BK141" s="30"/>
      <c r="BL141" s="30" t="str">
        <f t="shared" si="1"/>
        <v/>
      </c>
      <c r="BM141" s="31"/>
      <c r="BN141" s="31" t="str">
        <f t="shared" si="2"/>
        <v/>
      </c>
      <c r="BO141" s="15" t="s">
        <v>147</v>
      </c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 t="str">
        <f t="shared" si="3"/>
        <v> </v>
      </c>
      <c r="CF141" s="33"/>
      <c r="CG141" s="33"/>
      <c r="CH141" s="15"/>
      <c r="CI141" s="22"/>
      <c r="CJ141" s="15"/>
      <c r="CK141" s="15"/>
      <c r="CL141" s="15"/>
      <c r="CM141" s="15"/>
      <c r="CN141" s="30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</row>
    <row r="142" ht="14.25" customHeight="1">
      <c r="A142" s="15"/>
      <c r="B142" s="15"/>
      <c r="C142" s="15" t="s">
        <v>140</v>
      </c>
      <c r="D142" s="15" t="s">
        <v>142</v>
      </c>
      <c r="E142" s="15" t="s">
        <v>139</v>
      </c>
      <c r="F142" s="15" t="s">
        <v>144</v>
      </c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>
        <v>1.0</v>
      </c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30"/>
      <c r="BK142" s="30"/>
      <c r="BL142" s="30" t="str">
        <f t="shared" si="1"/>
        <v/>
      </c>
      <c r="BM142" s="31"/>
      <c r="BN142" s="31" t="str">
        <f t="shared" si="2"/>
        <v/>
      </c>
      <c r="BO142" s="15" t="s">
        <v>147</v>
      </c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 t="str">
        <f t="shared" si="3"/>
        <v> </v>
      </c>
      <c r="CF142" s="33"/>
      <c r="CG142" s="33"/>
      <c r="CH142" s="15"/>
      <c r="CI142" s="22"/>
      <c r="CJ142" s="15"/>
      <c r="CK142" s="15"/>
      <c r="CL142" s="15"/>
      <c r="CM142" s="15"/>
      <c r="CN142" s="30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</row>
    <row r="143" ht="14.25" customHeight="1">
      <c r="A143" s="15"/>
      <c r="B143" s="15"/>
      <c r="C143" s="15" t="s">
        <v>140</v>
      </c>
      <c r="D143" s="15" t="s">
        <v>142</v>
      </c>
      <c r="E143" s="15" t="s">
        <v>139</v>
      </c>
      <c r="F143" s="15" t="s">
        <v>144</v>
      </c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>
        <v>1.0</v>
      </c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30"/>
      <c r="BK143" s="30"/>
      <c r="BL143" s="30" t="str">
        <f t="shared" si="1"/>
        <v/>
      </c>
      <c r="BM143" s="31"/>
      <c r="BN143" s="31" t="str">
        <f t="shared" si="2"/>
        <v/>
      </c>
      <c r="BO143" s="15" t="s">
        <v>147</v>
      </c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 t="str">
        <f t="shared" si="3"/>
        <v> </v>
      </c>
      <c r="CF143" s="33"/>
      <c r="CG143" s="33"/>
      <c r="CH143" s="15"/>
      <c r="CI143" s="22"/>
      <c r="CJ143" s="15"/>
      <c r="CK143" s="15"/>
      <c r="CL143" s="15"/>
      <c r="CM143" s="15"/>
      <c r="CN143" s="30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</row>
    <row r="144" ht="14.25" customHeight="1">
      <c r="A144" s="15"/>
      <c r="B144" s="15"/>
      <c r="C144" s="15" t="s">
        <v>140</v>
      </c>
      <c r="D144" s="15" t="s">
        <v>142</v>
      </c>
      <c r="E144" s="15" t="s">
        <v>139</v>
      </c>
      <c r="F144" s="15" t="s">
        <v>144</v>
      </c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>
        <v>1.0</v>
      </c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30"/>
      <c r="BK144" s="30"/>
      <c r="BL144" s="30" t="str">
        <f t="shared" si="1"/>
        <v/>
      </c>
      <c r="BM144" s="31"/>
      <c r="BN144" s="31" t="str">
        <f t="shared" si="2"/>
        <v/>
      </c>
      <c r="BO144" s="15" t="s">
        <v>147</v>
      </c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 t="str">
        <f t="shared" si="3"/>
        <v> </v>
      </c>
      <c r="CF144" s="33"/>
      <c r="CG144" s="33"/>
      <c r="CH144" s="15"/>
      <c r="CI144" s="22"/>
      <c r="CJ144" s="15"/>
      <c r="CK144" s="15"/>
      <c r="CL144" s="15"/>
      <c r="CM144" s="15"/>
      <c r="CN144" s="30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</row>
    <row r="145" ht="14.25" customHeight="1">
      <c r="A145" s="15"/>
      <c r="B145" s="15"/>
      <c r="C145" s="15" t="s">
        <v>140</v>
      </c>
      <c r="D145" s="15" t="s">
        <v>142</v>
      </c>
      <c r="E145" s="15" t="s">
        <v>139</v>
      </c>
      <c r="F145" s="15" t="s">
        <v>144</v>
      </c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>
        <v>1.0</v>
      </c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30"/>
      <c r="BK145" s="30"/>
      <c r="BL145" s="30" t="str">
        <f t="shared" si="1"/>
        <v/>
      </c>
      <c r="BM145" s="31"/>
      <c r="BN145" s="31" t="str">
        <f t="shared" si="2"/>
        <v/>
      </c>
      <c r="BO145" s="15" t="s">
        <v>147</v>
      </c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 t="str">
        <f t="shared" si="3"/>
        <v> </v>
      </c>
      <c r="CF145" s="33"/>
      <c r="CG145" s="33"/>
      <c r="CH145" s="15"/>
      <c r="CI145" s="22"/>
      <c r="CJ145" s="15"/>
      <c r="CK145" s="15"/>
      <c r="CL145" s="15"/>
      <c r="CM145" s="15"/>
      <c r="CN145" s="30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</row>
    <row r="146" ht="14.25" customHeight="1">
      <c r="A146" s="15"/>
      <c r="B146" s="15"/>
      <c r="C146" s="15" t="s">
        <v>140</v>
      </c>
      <c r="D146" s="15" t="s">
        <v>142</v>
      </c>
      <c r="E146" s="15" t="s">
        <v>139</v>
      </c>
      <c r="F146" s="15" t="s">
        <v>144</v>
      </c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>
        <v>1.0</v>
      </c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30"/>
      <c r="BK146" s="30"/>
      <c r="BL146" s="30" t="str">
        <f t="shared" si="1"/>
        <v/>
      </c>
      <c r="BM146" s="31"/>
      <c r="BN146" s="31" t="str">
        <f t="shared" si="2"/>
        <v/>
      </c>
      <c r="BO146" s="15" t="s">
        <v>147</v>
      </c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 t="str">
        <f t="shared" si="3"/>
        <v> </v>
      </c>
      <c r="CF146" s="33"/>
      <c r="CG146" s="33"/>
      <c r="CH146" s="15"/>
      <c r="CI146" s="22"/>
      <c r="CJ146" s="15"/>
      <c r="CK146" s="15"/>
      <c r="CL146" s="15"/>
      <c r="CM146" s="15"/>
      <c r="CN146" s="30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</row>
    <row r="147" ht="14.25" customHeight="1">
      <c r="A147" s="15"/>
      <c r="B147" s="15"/>
      <c r="C147" s="15" t="s">
        <v>140</v>
      </c>
      <c r="D147" s="15" t="s">
        <v>142</v>
      </c>
      <c r="E147" s="15" t="s">
        <v>139</v>
      </c>
      <c r="F147" s="15" t="s">
        <v>144</v>
      </c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>
        <v>1.0</v>
      </c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30"/>
      <c r="BK147" s="30"/>
      <c r="BL147" s="30" t="str">
        <f t="shared" si="1"/>
        <v/>
      </c>
      <c r="BM147" s="31"/>
      <c r="BN147" s="31" t="str">
        <f t="shared" si="2"/>
        <v/>
      </c>
      <c r="BO147" s="15" t="s">
        <v>147</v>
      </c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 t="str">
        <f t="shared" si="3"/>
        <v> </v>
      </c>
      <c r="CF147" s="33"/>
      <c r="CG147" s="33"/>
      <c r="CH147" s="15"/>
      <c r="CI147" s="22"/>
      <c r="CJ147" s="15"/>
      <c r="CK147" s="15"/>
      <c r="CL147" s="15"/>
      <c r="CM147" s="15"/>
      <c r="CN147" s="30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</row>
    <row r="148" ht="14.25" customHeight="1">
      <c r="A148" s="15"/>
      <c r="B148" s="15"/>
      <c r="C148" s="15" t="s">
        <v>140</v>
      </c>
      <c r="D148" s="15" t="s">
        <v>142</v>
      </c>
      <c r="E148" s="15" t="s">
        <v>139</v>
      </c>
      <c r="F148" s="15" t="s">
        <v>144</v>
      </c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>
        <v>1.0</v>
      </c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30"/>
      <c r="BK148" s="30"/>
      <c r="BL148" s="30" t="str">
        <f t="shared" si="1"/>
        <v/>
      </c>
      <c r="BM148" s="31"/>
      <c r="BN148" s="31" t="str">
        <f t="shared" si="2"/>
        <v/>
      </c>
      <c r="BO148" s="15" t="s">
        <v>147</v>
      </c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 t="str">
        <f t="shared" si="3"/>
        <v> </v>
      </c>
      <c r="CF148" s="33"/>
      <c r="CG148" s="33"/>
      <c r="CH148" s="15"/>
      <c r="CI148" s="22"/>
      <c r="CJ148" s="15"/>
      <c r="CK148" s="15"/>
      <c r="CL148" s="15"/>
      <c r="CM148" s="15"/>
      <c r="CN148" s="30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</row>
    <row r="149" ht="14.25" customHeight="1">
      <c r="A149" s="15"/>
      <c r="B149" s="15"/>
      <c r="C149" s="15" t="s">
        <v>140</v>
      </c>
      <c r="D149" s="15" t="s">
        <v>142</v>
      </c>
      <c r="E149" s="15" t="s">
        <v>139</v>
      </c>
      <c r="F149" s="15" t="s">
        <v>144</v>
      </c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>
        <v>1.0</v>
      </c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30"/>
      <c r="BK149" s="30"/>
      <c r="BL149" s="30" t="str">
        <f t="shared" si="1"/>
        <v/>
      </c>
      <c r="BM149" s="31"/>
      <c r="BN149" s="31" t="str">
        <f t="shared" si="2"/>
        <v/>
      </c>
      <c r="BO149" s="15" t="s">
        <v>147</v>
      </c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 t="str">
        <f t="shared" si="3"/>
        <v> </v>
      </c>
      <c r="CF149" s="33"/>
      <c r="CG149" s="33"/>
      <c r="CH149" s="15"/>
      <c r="CI149" s="22"/>
      <c r="CJ149" s="15"/>
      <c r="CK149" s="15"/>
      <c r="CL149" s="15"/>
      <c r="CM149" s="15"/>
      <c r="CN149" s="30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</row>
    <row r="150" ht="14.25" customHeight="1">
      <c r="A150" s="15"/>
      <c r="B150" s="15"/>
      <c r="C150" s="15" t="s">
        <v>140</v>
      </c>
      <c r="D150" s="15" t="s">
        <v>142</v>
      </c>
      <c r="E150" s="15" t="s">
        <v>139</v>
      </c>
      <c r="F150" s="15" t="s">
        <v>144</v>
      </c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>
        <v>1.0</v>
      </c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30"/>
      <c r="BK150" s="30"/>
      <c r="BL150" s="30" t="str">
        <f t="shared" si="1"/>
        <v/>
      </c>
      <c r="BM150" s="31"/>
      <c r="BN150" s="31" t="str">
        <f t="shared" si="2"/>
        <v/>
      </c>
      <c r="BO150" s="15" t="s">
        <v>147</v>
      </c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 t="str">
        <f t="shared" si="3"/>
        <v> </v>
      </c>
      <c r="CF150" s="33"/>
      <c r="CG150" s="33"/>
      <c r="CH150" s="15"/>
      <c r="CI150" s="22"/>
      <c r="CJ150" s="15"/>
      <c r="CK150" s="15"/>
      <c r="CL150" s="15"/>
      <c r="CM150" s="15"/>
      <c r="CN150" s="30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</row>
    <row r="151" ht="14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30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</row>
    <row r="152" ht="14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</row>
    <row r="153" ht="14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</row>
    <row r="154" ht="14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</row>
    <row r="155" ht="14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</row>
    <row r="156" ht="14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</row>
    <row r="157" ht="14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</row>
    <row r="158" ht="14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</row>
    <row r="159" ht="14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</row>
    <row r="160" ht="14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</row>
    <row r="161" ht="14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</row>
    <row r="162" ht="14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</row>
    <row r="163" ht="14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</row>
    <row r="164" ht="14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</row>
    <row r="165" ht="14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</row>
    <row r="166" ht="14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</row>
    <row r="167" ht="14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</row>
    <row r="168" ht="14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</row>
    <row r="169" ht="14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</row>
    <row r="170" ht="14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</row>
    <row r="171" ht="14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</row>
    <row r="172" ht="14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</row>
    <row r="173" ht="14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</row>
    <row r="174" ht="14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</row>
    <row r="175" ht="14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</row>
    <row r="176" ht="14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</row>
    <row r="177" ht="14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</row>
    <row r="178" ht="14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</row>
    <row r="179" ht="14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</row>
    <row r="180" ht="14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</row>
    <row r="181" ht="14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</row>
    <row r="182" ht="14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</row>
    <row r="183" ht="14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</row>
    <row r="184" ht="14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</row>
    <row r="185" ht="14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</row>
    <row r="186" ht="14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</row>
    <row r="187" ht="14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</row>
    <row r="188" ht="14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</row>
    <row r="189" ht="14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</row>
    <row r="190" ht="14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</row>
    <row r="191" ht="14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</row>
    <row r="192" ht="14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</row>
    <row r="193" ht="14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</row>
    <row r="194" ht="14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</row>
    <row r="195" ht="14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</row>
    <row r="196" ht="14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</row>
    <row r="197" ht="14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</row>
    <row r="198" ht="14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</row>
    <row r="199" ht="14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</row>
    <row r="200" ht="14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</row>
    <row r="201" ht="14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</row>
    <row r="202" ht="14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</row>
    <row r="203" ht="14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</row>
    <row r="204" ht="14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</row>
    <row r="205" ht="14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</row>
    <row r="206" ht="14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</row>
    <row r="207" ht="14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</row>
    <row r="208" ht="14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</row>
    <row r="209" ht="14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</row>
    <row r="210" ht="14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</row>
    <row r="211" ht="14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</row>
    <row r="212" ht="14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</row>
    <row r="213" ht="14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</row>
    <row r="214" ht="14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</row>
    <row r="215" ht="14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</row>
    <row r="216" ht="14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</row>
    <row r="217" ht="14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</row>
    <row r="218" ht="14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</row>
    <row r="219" ht="14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</row>
    <row r="220" ht="14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</row>
    <row r="221" ht="14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</row>
    <row r="222" ht="14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</row>
    <row r="223" ht="14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</row>
    <row r="224" ht="14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</row>
    <row r="225" ht="14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</row>
    <row r="226" ht="14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15"/>
      <c r="DK226" s="15"/>
      <c r="DL226" s="15"/>
      <c r="DM226" s="15"/>
      <c r="DN226" s="15"/>
      <c r="DO226" s="15"/>
      <c r="DP226" s="15"/>
      <c r="DQ226" s="15"/>
      <c r="DR226" s="15"/>
      <c r="DS226" s="15"/>
      <c r="DT226" s="15"/>
    </row>
    <row r="227" ht="14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</row>
    <row r="228" ht="14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</row>
    <row r="229" ht="14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</row>
    <row r="230" ht="14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  <c r="DI230" s="15"/>
      <c r="DJ230" s="15"/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</row>
    <row r="231" ht="14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</row>
    <row r="232" ht="14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  <c r="DI232" s="15"/>
      <c r="DJ232" s="15"/>
      <c r="DK232" s="15"/>
      <c r="DL232" s="15"/>
      <c r="DM232" s="15"/>
      <c r="DN232" s="15"/>
      <c r="DO232" s="15"/>
      <c r="DP232" s="15"/>
      <c r="DQ232" s="15"/>
      <c r="DR232" s="15"/>
      <c r="DS232" s="15"/>
      <c r="DT232" s="15"/>
    </row>
    <row r="233" ht="14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</row>
    <row r="234" ht="14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  <c r="DI234" s="15"/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</row>
    <row r="235" ht="14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</row>
    <row r="236" ht="14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5"/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</row>
    <row r="237" ht="14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</row>
    <row r="238" ht="14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</row>
    <row r="239" ht="14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</row>
    <row r="240" ht="14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  <c r="DF240" s="15"/>
      <c r="DG240" s="15"/>
      <c r="DH240" s="15"/>
      <c r="DI240" s="15"/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</row>
    <row r="241" ht="14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</row>
    <row r="242" ht="14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5"/>
      <c r="DJ242" s="15"/>
      <c r="DK242" s="15"/>
      <c r="DL242" s="15"/>
      <c r="DM242" s="15"/>
      <c r="DN242" s="15"/>
      <c r="DO242" s="15"/>
      <c r="DP242" s="15"/>
      <c r="DQ242" s="15"/>
      <c r="DR242" s="15"/>
      <c r="DS242" s="15"/>
      <c r="DT242" s="15"/>
    </row>
    <row r="243" ht="14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</row>
    <row r="244" ht="14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  <c r="DF244" s="15"/>
      <c r="DG244" s="15"/>
      <c r="DH244" s="15"/>
      <c r="DI244" s="15"/>
      <c r="DJ244" s="15"/>
      <c r="DK244" s="15"/>
      <c r="DL244" s="15"/>
      <c r="DM244" s="15"/>
      <c r="DN244" s="15"/>
      <c r="DO244" s="15"/>
      <c r="DP244" s="15"/>
      <c r="DQ244" s="15"/>
      <c r="DR244" s="15"/>
      <c r="DS244" s="15"/>
      <c r="DT244" s="15"/>
    </row>
    <row r="245" ht="14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</row>
    <row r="246" ht="14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  <c r="DF246" s="15"/>
      <c r="DG246" s="15"/>
      <c r="DH246" s="15"/>
      <c r="DI246" s="15"/>
      <c r="DJ246" s="15"/>
      <c r="DK246" s="15"/>
      <c r="DL246" s="15"/>
      <c r="DM246" s="15"/>
      <c r="DN246" s="15"/>
      <c r="DO246" s="15"/>
      <c r="DP246" s="15"/>
      <c r="DQ246" s="15"/>
      <c r="DR246" s="15"/>
      <c r="DS246" s="15"/>
      <c r="DT246" s="15"/>
    </row>
    <row r="247" ht="14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</row>
    <row r="248" ht="14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  <c r="DF248" s="15"/>
      <c r="DG248" s="15"/>
      <c r="DH248" s="15"/>
      <c r="DI248" s="15"/>
      <c r="DJ248" s="15"/>
      <c r="DK248" s="15"/>
      <c r="DL248" s="15"/>
      <c r="DM248" s="15"/>
      <c r="DN248" s="15"/>
      <c r="DO248" s="15"/>
      <c r="DP248" s="15"/>
      <c r="DQ248" s="15"/>
      <c r="DR248" s="15"/>
      <c r="DS248" s="15"/>
      <c r="DT248" s="15"/>
    </row>
    <row r="249" ht="14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</row>
    <row r="250" ht="14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  <c r="DF250" s="15"/>
      <c r="DG250" s="15"/>
      <c r="DH250" s="15"/>
      <c r="DI250" s="15"/>
      <c r="DJ250" s="15"/>
      <c r="DK250" s="15"/>
      <c r="DL250" s="15"/>
      <c r="DM250" s="15"/>
      <c r="DN250" s="15"/>
      <c r="DO250" s="15"/>
      <c r="DP250" s="15"/>
      <c r="DQ250" s="15"/>
      <c r="DR250" s="15"/>
      <c r="DS250" s="15"/>
      <c r="DT250" s="15"/>
    </row>
    <row r="251" ht="14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</row>
    <row r="252" ht="14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5"/>
      <c r="DF252" s="15"/>
      <c r="DG252" s="15"/>
      <c r="DH252" s="15"/>
      <c r="DI252" s="15"/>
      <c r="DJ252" s="15"/>
      <c r="DK252" s="15"/>
      <c r="DL252" s="15"/>
      <c r="DM252" s="15"/>
      <c r="DN252" s="15"/>
      <c r="DO252" s="15"/>
      <c r="DP252" s="15"/>
      <c r="DQ252" s="15"/>
      <c r="DR252" s="15"/>
      <c r="DS252" s="15"/>
      <c r="DT252" s="15"/>
    </row>
    <row r="253" ht="14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</row>
    <row r="254" ht="14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  <c r="DF254" s="15"/>
      <c r="DG254" s="15"/>
      <c r="DH254" s="15"/>
      <c r="DI254" s="15"/>
      <c r="DJ254" s="15"/>
      <c r="DK254" s="15"/>
      <c r="DL254" s="15"/>
      <c r="DM254" s="15"/>
      <c r="DN254" s="15"/>
      <c r="DO254" s="15"/>
      <c r="DP254" s="15"/>
      <c r="DQ254" s="15"/>
      <c r="DR254" s="15"/>
      <c r="DS254" s="15"/>
      <c r="DT254" s="15"/>
    </row>
    <row r="255" ht="14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</row>
    <row r="256" ht="14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5"/>
      <c r="DF256" s="15"/>
      <c r="DG256" s="15"/>
      <c r="DH256" s="15"/>
      <c r="DI256" s="15"/>
      <c r="DJ256" s="15"/>
      <c r="DK256" s="15"/>
      <c r="DL256" s="15"/>
      <c r="DM256" s="15"/>
      <c r="DN256" s="15"/>
      <c r="DO256" s="15"/>
      <c r="DP256" s="15"/>
      <c r="DQ256" s="15"/>
      <c r="DR256" s="15"/>
      <c r="DS256" s="15"/>
      <c r="DT256" s="15"/>
    </row>
    <row r="257" ht="14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</row>
    <row r="258" ht="14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5"/>
      <c r="DL258" s="15"/>
      <c r="DM258" s="15"/>
      <c r="DN258" s="15"/>
      <c r="DO258" s="15"/>
      <c r="DP258" s="15"/>
      <c r="DQ258" s="15"/>
      <c r="DR258" s="15"/>
      <c r="DS258" s="15"/>
      <c r="DT258" s="15"/>
    </row>
    <row r="259" ht="14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</row>
    <row r="260" ht="14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5"/>
      <c r="DL260" s="15"/>
      <c r="DM260" s="15"/>
      <c r="DN260" s="15"/>
      <c r="DO260" s="15"/>
      <c r="DP260" s="15"/>
      <c r="DQ260" s="15"/>
      <c r="DR260" s="15"/>
      <c r="DS260" s="15"/>
      <c r="DT260" s="15"/>
    </row>
    <row r="261" ht="14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</row>
    <row r="262" ht="14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5"/>
      <c r="DL262" s="15"/>
      <c r="DM262" s="15"/>
      <c r="DN262" s="15"/>
      <c r="DO262" s="15"/>
      <c r="DP262" s="15"/>
      <c r="DQ262" s="15"/>
      <c r="DR262" s="15"/>
      <c r="DS262" s="15"/>
      <c r="DT262" s="15"/>
    </row>
    <row r="263" ht="14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</row>
    <row r="264" ht="14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  <c r="DF264" s="15"/>
      <c r="DG264" s="15"/>
      <c r="DH264" s="15"/>
      <c r="DI264" s="15"/>
      <c r="DJ264" s="15"/>
      <c r="DK264" s="15"/>
      <c r="DL264" s="15"/>
      <c r="DM264" s="15"/>
      <c r="DN264" s="15"/>
      <c r="DO264" s="15"/>
      <c r="DP264" s="15"/>
      <c r="DQ264" s="15"/>
      <c r="DR264" s="15"/>
      <c r="DS264" s="15"/>
      <c r="DT264" s="15"/>
    </row>
    <row r="265" ht="14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</row>
    <row r="266" ht="14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  <c r="DF266" s="15"/>
      <c r="DG266" s="15"/>
      <c r="DH266" s="15"/>
      <c r="DI266" s="15"/>
      <c r="DJ266" s="15"/>
      <c r="DK266" s="15"/>
      <c r="DL266" s="15"/>
      <c r="DM266" s="15"/>
      <c r="DN266" s="15"/>
      <c r="DO266" s="15"/>
      <c r="DP266" s="15"/>
      <c r="DQ266" s="15"/>
      <c r="DR266" s="15"/>
      <c r="DS266" s="15"/>
      <c r="DT266" s="15"/>
    </row>
    <row r="267" ht="14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</row>
    <row r="268" ht="14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5"/>
      <c r="DJ268" s="15"/>
      <c r="DK268" s="15"/>
      <c r="DL268" s="15"/>
      <c r="DM268" s="15"/>
      <c r="DN268" s="15"/>
      <c r="DO268" s="15"/>
      <c r="DP268" s="15"/>
      <c r="DQ268" s="15"/>
      <c r="DR268" s="15"/>
      <c r="DS268" s="15"/>
      <c r="DT268" s="15"/>
    </row>
    <row r="269" ht="14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</row>
    <row r="270" ht="14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  <c r="DF270" s="15"/>
      <c r="DG270" s="15"/>
      <c r="DH270" s="15"/>
      <c r="DI270" s="15"/>
      <c r="DJ270" s="15"/>
      <c r="DK270" s="15"/>
      <c r="DL270" s="15"/>
      <c r="DM270" s="15"/>
      <c r="DN270" s="15"/>
      <c r="DO270" s="15"/>
      <c r="DP270" s="15"/>
      <c r="DQ270" s="15"/>
      <c r="DR270" s="15"/>
      <c r="DS270" s="15"/>
      <c r="DT270" s="15"/>
    </row>
    <row r="271" ht="14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</row>
    <row r="272" ht="14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  <c r="DF272" s="15"/>
      <c r="DG272" s="15"/>
      <c r="DH272" s="15"/>
      <c r="DI272" s="15"/>
      <c r="DJ272" s="15"/>
      <c r="DK272" s="15"/>
      <c r="DL272" s="15"/>
      <c r="DM272" s="15"/>
      <c r="DN272" s="15"/>
      <c r="DO272" s="15"/>
      <c r="DP272" s="15"/>
      <c r="DQ272" s="15"/>
      <c r="DR272" s="15"/>
      <c r="DS272" s="15"/>
      <c r="DT272" s="15"/>
    </row>
    <row r="273" ht="14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</row>
    <row r="274" ht="14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  <c r="DF274" s="15"/>
      <c r="DG274" s="15"/>
      <c r="DH274" s="15"/>
      <c r="DI274" s="15"/>
      <c r="DJ274" s="15"/>
      <c r="DK274" s="15"/>
      <c r="DL274" s="15"/>
      <c r="DM274" s="15"/>
      <c r="DN274" s="15"/>
      <c r="DO274" s="15"/>
      <c r="DP274" s="15"/>
      <c r="DQ274" s="15"/>
      <c r="DR274" s="15"/>
      <c r="DS274" s="15"/>
      <c r="DT274" s="15"/>
    </row>
    <row r="275" ht="14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</row>
    <row r="276" ht="14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  <c r="DF276" s="15"/>
      <c r="DG276" s="15"/>
      <c r="DH276" s="15"/>
      <c r="DI276" s="15"/>
      <c r="DJ276" s="15"/>
      <c r="DK276" s="15"/>
      <c r="DL276" s="15"/>
      <c r="DM276" s="15"/>
      <c r="DN276" s="15"/>
      <c r="DO276" s="15"/>
      <c r="DP276" s="15"/>
      <c r="DQ276" s="15"/>
      <c r="DR276" s="15"/>
      <c r="DS276" s="15"/>
      <c r="DT276" s="15"/>
    </row>
    <row r="277" ht="14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</row>
    <row r="278" ht="14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  <c r="DF278" s="15"/>
      <c r="DG278" s="15"/>
      <c r="DH278" s="15"/>
      <c r="DI278" s="15"/>
      <c r="DJ278" s="15"/>
      <c r="DK278" s="15"/>
      <c r="DL278" s="15"/>
      <c r="DM278" s="15"/>
      <c r="DN278" s="15"/>
      <c r="DO278" s="15"/>
      <c r="DP278" s="15"/>
      <c r="DQ278" s="15"/>
      <c r="DR278" s="15"/>
      <c r="DS278" s="15"/>
      <c r="DT278" s="15"/>
    </row>
    <row r="279" ht="14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</row>
    <row r="280" ht="14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  <c r="DF280" s="15"/>
      <c r="DG280" s="15"/>
      <c r="DH280" s="15"/>
      <c r="DI280" s="15"/>
      <c r="DJ280" s="15"/>
      <c r="DK280" s="15"/>
      <c r="DL280" s="15"/>
      <c r="DM280" s="15"/>
      <c r="DN280" s="15"/>
      <c r="DO280" s="15"/>
      <c r="DP280" s="15"/>
      <c r="DQ280" s="15"/>
      <c r="DR280" s="15"/>
      <c r="DS280" s="15"/>
      <c r="DT280" s="15"/>
    </row>
    <row r="281" ht="14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</row>
    <row r="282" ht="14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  <c r="DF282" s="15"/>
      <c r="DG282" s="15"/>
      <c r="DH282" s="15"/>
      <c r="DI282" s="15"/>
      <c r="DJ282" s="15"/>
      <c r="DK282" s="15"/>
      <c r="DL282" s="15"/>
      <c r="DM282" s="15"/>
      <c r="DN282" s="15"/>
      <c r="DO282" s="15"/>
      <c r="DP282" s="15"/>
      <c r="DQ282" s="15"/>
      <c r="DR282" s="15"/>
      <c r="DS282" s="15"/>
      <c r="DT282" s="15"/>
    </row>
    <row r="283" ht="14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</row>
    <row r="284" ht="14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  <c r="DF284" s="15"/>
      <c r="DG284" s="15"/>
      <c r="DH284" s="15"/>
      <c r="DI284" s="15"/>
      <c r="DJ284" s="15"/>
      <c r="DK284" s="15"/>
      <c r="DL284" s="15"/>
      <c r="DM284" s="15"/>
      <c r="DN284" s="15"/>
      <c r="DO284" s="15"/>
      <c r="DP284" s="15"/>
      <c r="DQ284" s="15"/>
      <c r="DR284" s="15"/>
      <c r="DS284" s="15"/>
      <c r="DT284" s="15"/>
    </row>
    <row r="285" ht="14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</row>
    <row r="286" ht="14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  <c r="DF286" s="15"/>
      <c r="DG286" s="15"/>
      <c r="DH286" s="15"/>
      <c r="DI286" s="15"/>
      <c r="DJ286" s="15"/>
      <c r="DK286" s="15"/>
      <c r="DL286" s="15"/>
      <c r="DM286" s="15"/>
      <c r="DN286" s="15"/>
      <c r="DO286" s="15"/>
      <c r="DP286" s="15"/>
      <c r="DQ286" s="15"/>
      <c r="DR286" s="15"/>
      <c r="DS286" s="15"/>
      <c r="DT286" s="15"/>
    </row>
    <row r="287" ht="14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</row>
    <row r="288" ht="14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  <c r="DF288" s="15"/>
      <c r="DG288" s="15"/>
      <c r="DH288" s="15"/>
      <c r="DI288" s="15"/>
      <c r="DJ288" s="15"/>
      <c r="DK288" s="15"/>
      <c r="DL288" s="15"/>
      <c r="DM288" s="15"/>
      <c r="DN288" s="15"/>
      <c r="DO288" s="15"/>
      <c r="DP288" s="15"/>
      <c r="DQ288" s="15"/>
      <c r="DR288" s="15"/>
      <c r="DS288" s="15"/>
      <c r="DT288" s="15"/>
    </row>
    <row r="289" ht="14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</row>
    <row r="290" ht="14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  <c r="DF290" s="15"/>
      <c r="DG290" s="15"/>
      <c r="DH290" s="15"/>
      <c r="DI290" s="15"/>
      <c r="DJ290" s="15"/>
      <c r="DK290" s="15"/>
      <c r="DL290" s="15"/>
      <c r="DM290" s="15"/>
      <c r="DN290" s="15"/>
      <c r="DO290" s="15"/>
      <c r="DP290" s="15"/>
      <c r="DQ290" s="15"/>
      <c r="DR290" s="15"/>
      <c r="DS290" s="15"/>
      <c r="DT290" s="15"/>
    </row>
    <row r="291" ht="14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</row>
    <row r="292" ht="14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  <c r="DF292" s="15"/>
      <c r="DG292" s="15"/>
      <c r="DH292" s="15"/>
      <c r="DI292" s="15"/>
      <c r="DJ292" s="15"/>
      <c r="DK292" s="15"/>
      <c r="DL292" s="15"/>
      <c r="DM292" s="15"/>
      <c r="DN292" s="15"/>
      <c r="DO292" s="15"/>
      <c r="DP292" s="15"/>
      <c r="DQ292" s="15"/>
      <c r="DR292" s="15"/>
      <c r="DS292" s="15"/>
      <c r="DT292" s="15"/>
    </row>
    <row r="293" ht="14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</row>
    <row r="294" ht="14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5"/>
      <c r="DI294" s="15"/>
      <c r="DJ294" s="15"/>
      <c r="DK294" s="15"/>
      <c r="DL294" s="15"/>
      <c r="DM294" s="15"/>
      <c r="DN294" s="15"/>
      <c r="DO294" s="15"/>
      <c r="DP294" s="15"/>
      <c r="DQ294" s="15"/>
      <c r="DR294" s="15"/>
      <c r="DS294" s="15"/>
      <c r="DT294" s="15"/>
    </row>
    <row r="295" ht="14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</row>
    <row r="296" ht="14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  <c r="DF296" s="15"/>
      <c r="DG296" s="15"/>
      <c r="DH296" s="15"/>
      <c r="DI296" s="15"/>
      <c r="DJ296" s="15"/>
      <c r="DK296" s="15"/>
      <c r="DL296" s="15"/>
      <c r="DM296" s="15"/>
      <c r="DN296" s="15"/>
      <c r="DO296" s="15"/>
      <c r="DP296" s="15"/>
      <c r="DQ296" s="15"/>
      <c r="DR296" s="15"/>
      <c r="DS296" s="15"/>
      <c r="DT296" s="15"/>
    </row>
    <row r="297" ht="14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</row>
    <row r="298" ht="14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  <c r="DF298" s="15"/>
      <c r="DG298" s="15"/>
      <c r="DH298" s="15"/>
      <c r="DI298" s="15"/>
      <c r="DJ298" s="15"/>
      <c r="DK298" s="15"/>
      <c r="DL298" s="15"/>
      <c r="DM298" s="15"/>
      <c r="DN298" s="15"/>
      <c r="DO298" s="15"/>
      <c r="DP298" s="15"/>
      <c r="DQ298" s="15"/>
      <c r="DR298" s="15"/>
      <c r="DS298" s="15"/>
      <c r="DT298" s="15"/>
    </row>
    <row r="299" ht="14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</row>
    <row r="300" ht="14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  <c r="DF300" s="15"/>
      <c r="DG300" s="15"/>
      <c r="DH300" s="15"/>
      <c r="DI300" s="15"/>
      <c r="DJ300" s="15"/>
      <c r="DK300" s="15"/>
      <c r="DL300" s="15"/>
      <c r="DM300" s="15"/>
      <c r="DN300" s="15"/>
      <c r="DO300" s="15"/>
      <c r="DP300" s="15"/>
      <c r="DQ300" s="15"/>
      <c r="DR300" s="15"/>
      <c r="DS300" s="15"/>
      <c r="DT300" s="15"/>
    </row>
    <row r="301" ht="14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</row>
    <row r="302" ht="14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  <c r="DF302" s="15"/>
      <c r="DG302" s="15"/>
      <c r="DH302" s="15"/>
      <c r="DI302" s="15"/>
      <c r="DJ302" s="15"/>
      <c r="DK302" s="15"/>
      <c r="DL302" s="15"/>
      <c r="DM302" s="15"/>
      <c r="DN302" s="15"/>
      <c r="DO302" s="15"/>
      <c r="DP302" s="15"/>
      <c r="DQ302" s="15"/>
      <c r="DR302" s="15"/>
      <c r="DS302" s="15"/>
      <c r="DT302" s="15"/>
    </row>
    <row r="303" ht="14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</row>
    <row r="304" ht="14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  <c r="DF304" s="15"/>
      <c r="DG304" s="15"/>
      <c r="DH304" s="15"/>
      <c r="DI304" s="15"/>
      <c r="DJ304" s="15"/>
      <c r="DK304" s="15"/>
      <c r="DL304" s="15"/>
      <c r="DM304" s="15"/>
      <c r="DN304" s="15"/>
      <c r="DO304" s="15"/>
      <c r="DP304" s="15"/>
      <c r="DQ304" s="15"/>
      <c r="DR304" s="15"/>
      <c r="DS304" s="15"/>
      <c r="DT304" s="15"/>
    </row>
    <row r="305" ht="14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</row>
    <row r="306" ht="14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  <c r="DF306" s="15"/>
      <c r="DG306" s="15"/>
      <c r="DH306" s="15"/>
      <c r="DI306" s="15"/>
      <c r="DJ306" s="15"/>
      <c r="DK306" s="15"/>
      <c r="DL306" s="15"/>
      <c r="DM306" s="15"/>
      <c r="DN306" s="15"/>
      <c r="DO306" s="15"/>
      <c r="DP306" s="15"/>
      <c r="DQ306" s="15"/>
      <c r="DR306" s="15"/>
      <c r="DS306" s="15"/>
      <c r="DT306" s="15"/>
    </row>
    <row r="307" ht="14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</row>
    <row r="308" ht="14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5"/>
      <c r="DL308" s="15"/>
      <c r="DM308" s="15"/>
      <c r="DN308" s="15"/>
      <c r="DO308" s="15"/>
      <c r="DP308" s="15"/>
      <c r="DQ308" s="15"/>
      <c r="DR308" s="15"/>
      <c r="DS308" s="15"/>
      <c r="DT308" s="15"/>
    </row>
    <row r="309" ht="14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</row>
    <row r="310" ht="14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5"/>
      <c r="DL310" s="15"/>
      <c r="DM310" s="15"/>
      <c r="DN310" s="15"/>
      <c r="DO310" s="15"/>
      <c r="DP310" s="15"/>
      <c r="DQ310" s="15"/>
      <c r="DR310" s="15"/>
      <c r="DS310" s="15"/>
      <c r="DT310" s="15"/>
    </row>
    <row r="311" ht="14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</row>
    <row r="312" ht="14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5"/>
      <c r="DL312" s="15"/>
      <c r="DM312" s="15"/>
      <c r="DN312" s="15"/>
      <c r="DO312" s="15"/>
      <c r="DP312" s="15"/>
      <c r="DQ312" s="15"/>
      <c r="DR312" s="15"/>
      <c r="DS312" s="15"/>
      <c r="DT312" s="15"/>
    </row>
    <row r="313" ht="14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</row>
    <row r="314" ht="14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  <c r="DF314" s="15"/>
      <c r="DG314" s="15"/>
      <c r="DH314" s="15"/>
      <c r="DI314" s="15"/>
      <c r="DJ314" s="15"/>
      <c r="DK314" s="15"/>
      <c r="DL314" s="15"/>
      <c r="DM314" s="15"/>
      <c r="DN314" s="15"/>
      <c r="DO314" s="15"/>
      <c r="DP314" s="15"/>
      <c r="DQ314" s="15"/>
      <c r="DR314" s="15"/>
      <c r="DS314" s="15"/>
      <c r="DT314" s="15"/>
    </row>
    <row r="315" ht="14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</row>
    <row r="316" ht="14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  <c r="DF316" s="15"/>
      <c r="DG316" s="15"/>
      <c r="DH316" s="15"/>
      <c r="DI316" s="15"/>
      <c r="DJ316" s="15"/>
      <c r="DK316" s="15"/>
      <c r="DL316" s="15"/>
      <c r="DM316" s="15"/>
      <c r="DN316" s="15"/>
      <c r="DO316" s="15"/>
      <c r="DP316" s="15"/>
      <c r="DQ316" s="15"/>
      <c r="DR316" s="15"/>
      <c r="DS316" s="15"/>
      <c r="DT316" s="15"/>
    </row>
    <row r="317" ht="14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</row>
    <row r="318" ht="14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  <c r="DF318" s="15"/>
      <c r="DG318" s="15"/>
      <c r="DH318" s="15"/>
      <c r="DI318" s="15"/>
      <c r="DJ318" s="15"/>
      <c r="DK318" s="15"/>
      <c r="DL318" s="15"/>
      <c r="DM318" s="15"/>
      <c r="DN318" s="15"/>
      <c r="DO318" s="15"/>
      <c r="DP318" s="15"/>
      <c r="DQ318" s="15"/>
      <c r="DR318" s="15"/>
      <c r="DS318" s="15"/>
      <c r="DT318" s="15"/>
    </row>
    <row r="319" ht="14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</row>
    <row r="320" ht="14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  <c r="DE320" s="15"/>
      <c r="DF320" s="15"/>
      <c r="DG320" s="15"/>
      <c r="DH320" s="15"/>
      <c r="DI320" s="15"/>
      <c r="DJ320" s="15"/>
      <c r="DK320" s="15"/>
      <c r="DL320" s="15"/>
      <c r="DM320" s="15"/>
      <c r="DN320" s="15"/>
      <c r="DO320" s="15"/>
      <c r="DP320" s="15"/>
      <c r="DQ320" s="15"/>
      <c r="DR320" s="15"/>
      <c r="DS320" s="15"/>
      <c r="DT320" s="15"/>
    </row>
    <row r="321" ht="14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</row>
    <row r="322" ht="14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  <c r="DE322" s="15"/>
      <c r="DF322" s="15"/>
      <c r="DG322" s="15"/>
      <c r="DH322" s="15"/>
      <c r="DI322" s="15"/>
      <c r="DJ322" s="15"/>
      <c r="DK322" s="15"/>
      <c r="DL322" s="15"/>
      <c r="DM322" s="15"/>
      <c r="DN322" s="15"/>
      <c r="DO322" s="15"/>
      <c r="DP322" s="15"/>
      <c r="DQ322" s="15"/>
      <c r="DR322" s="15"/>
      <c r="DS322" s="15"/>
      <c r="DT322" s="15"/>
    </row>
    <row r="323" ht="14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</row>
    <row r="324" ht="14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  <c r="DE324" s="15"/>
      <c r="DF324" s="15"/>
      <c r="DG324" s="15"/>
      <c r="DH324" s="15"/>
      <c r="DI324" s="15"/>
      <c r="DJ324" s="15"/>
      <c r="DK324" s="15"/>
      <c r="DL324" s="15"/>
      <c r="DM324" s="15"/>
      <c r="DN324" s="15"/>
      <c r="DO324" s="15"/>
      <c r="DP324" s="15"/>
      <c r="DQ324" s="15"/>
      <c r="DR324" s="15"/>
      <c r="DS324" s="15"/>
      <c r="DT324" s="15"/>
    </row>
    <row r="325" ht="14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</row>
    <row r="326" ht="14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  <c r="DE326" s="15"/>
      <c r="DF326" s="15"/>
      <c r="DG326" s="15"/>
      <c r="DH326" s="15"/>
      <c r="DI326" s="15"/>
      <c r="DJ326" s="15"/>
      <c r="DK326" s="15"/>
      <c r="DL326" s="15"/>
      <c r="DM326" s="15"/>
      <c r="DN326" s="15"/>
      <c r="DO326" s="15"/>
      <c r="DP326" s="15"/>
      <c r="DQ326" s="15"/>
      <c r="DR326" s="15"/>
      <c r="DS326" s="15"/>
      <c r="DT326" s="15"/>
    </row>
    <row r="327" ht="14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</row>
    <row r="328" ht="14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  <c r="DE328" s="15"/>
      <c r="DF328" s="15"/>
      <c r="DG328" s="15"/>
      <c r="DH328" s="15"/>
      <c r="DI328" s="15"/>
      <c r="DJ328" s="15"/>
      <c r="DK328" s="15"/>
      <c r="DL328" s="15"/>
      <c r="DM328" s="15"/>
      <c r="DN328" s="15"/>
      <c r="DO328" s="15"/>
      <c r="DP328" s="15"/>
      <c r="DQ328" s="15"/>
      <c r="DR328" s="15"/>
      <c r="DS328" s="15"/>
      <c r="DT328" s="15"/>
    </row>
    <row r="329" ht="14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</row>
    <row r="330" ht="14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  <c r="DE330" s="15"/>
      <c r="DF330" s="15"/>
      <c r="DG330" s="15"/>
      <c r="DH330" s="15"/>
      <c r="DI330" s="15"/>
      <c r="DJ330" s="15"/>
      <c r="DK330" s="15"/>
      <c r="DL330" s="15"/>
      <c r="DM330" s="15"/>
      <c r="DN330" s="15"/>
      <c r="DO330" s="15"/>
      <c r="DP330" s="15"/>
      <c r="DQ330" s="15"/>
      <c r="DR330" s="15"/>
      <c r="DS330" s="15"/>
      <c r="DT330" s="15"/>
    </row>
    <row r="331" ht="14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</row>
    <row r="332" ht="14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5"/>
      <c r="DF332" s="15"/>
      <c r="DG332" s="15"/>
      <c r="DH332" s="15"/>
      <c r="DI332" s="15"/>
      <c r="DJ332" s="15"/>
      <c r="DK332" s="15"/>
      <c r="DL332" s="15"/>
      <c r="DM332" s="15"/>
      <c r="DN332" s="15"/>
      <c r="DO332" s="15"/>
      <c r="DP332" s="15"/>
      <c r="DQ332" s="15"/>
      <c r="DR332" s="15"/>
      <c r="DS332" s="15"/>
      <c r="DT332" s="15"/>
    </row>
    <row r="333" ht="14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</row>
    <row r="334" ht="14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  <c r="DE334" s="15"/>
      <c r="DF334" s="15"/>
      <c r="DG334" s="15"/>
      <c r="DH334" s="15"/>
      <c r="DI334" s="15"/>
      <c r="DJ334" s="15"/>
      <c r="DK334" s="15"/>
      <c r="DL334" s="15"/>
      <c r="DM334" s="15"/>
      <c r="DN334" s="15"/>
      <c r="DO334" s="15"/>
      <c r="DP334" s="15"/>
      <c r="DQ334" s="15"/>
      <c r="DR334" s="15"/>
      <c r="DS334" s="15"/>
      <c r="DT334" s="15"/>
    </row>
    <row r="335" ht="14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</row>
    <row r="336" ht="14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  <c r="DE336" s="15"/>
      <c r="DF336" s="15"/>
      <c r="DG336" s="15"/>
      <c r="DH336" s="15"/>
      <c r="DI336" s="15"/>
      <c r="DJ336" s="15"/>
      <c r="DK336" s="15"/>
      <c r="DL336" s="15"/>
      <c r="DM336" s="15"/>
      <c r="DN336" s="15"/>
      <c r="DO336" s="15"/>
      <c r="DP336" s="15"/>
      <c r="DQ336" s="15"/>
      <c r="DR336" s="15"/>
      <c r="DS336" s="15"/>
      <c r="DT336" s="15"/>
    </row>
    <row r="337" ht="14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</row>
    <row r="338" ht="14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  <c r="DF338" s="15"/>
      <c r="DG338" s="15"/>
      <c r="DH338" s="15"/>
      <c r="DI338" s="15"/>
      <c r="DJ338" s="15"/>
      <c r="DK338" s="15"/>
      <c r="DL338" s="15"/>
      <c r="DM338" s="15"/>
      <c r="DN338" s="15"/>
      <c r="DO338" s="15"/>
      <c r="DP338" s="15"/>
      <c r="DQ338" s="15"/>
      <c r="DR338" s="15"/>
      <c r="DS338" s="15"/>
      <c r="DT338" s="15"/>
    </row>
    <row r="339" ht="14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</row>
    <row r="340" ht="14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D340" s="15"/>
      <c r="DE340" s="15"/>
      <c r="DF340" s="15"/>
      <c r="DG340" s="15"/>
      <c r="DH340" s="15"/>
      <c r="DI340" s="15"/>
      <c r="DJ340" s="15"/>
      <c r="DK340" s="15"/>
      <c r="DL340" s="15"/>
      <c r="DM340" s="15"/>
      <c r="DN340" s="15"/>
      <c r="DO340" s="15"/>
      <c r="DP340" s="15"/>
      <c r="DQ340" s="15"/>
      <c r="DR340" s="15"/>
      <c r="DS340" s="15"/>
      <c r="DT340" s="15"/>
    </row>
    <row r="341" ht="14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</row>
    <row r="342" ht="14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  <c r="DC342" s="15"/>
      <c r="DD342" s="15"/>
      <c r="DE342" s="15"/>
      <c r="DF342" s="15"/>
      <c r="DG342" s="15"/>
      <c r="DH342" s="15"/>
      <c r="DI342" s="15"/>
      <c r="DJ342" s="15"/>
      <c r="DK342" s="15"/>
      <c r="DL342" s="15"/>
      <c r="DM342" s="15"/>
      <c r="DN342" s="15"/>
      <c r="DO342" s="15"/>
      <c r="DP342" s="15"/>
      <c r="DQ342" s="15"/>
      <c r="DR342" s="15"/>
      <c r="DS342" s="15"/>
      <c r="DT342" s="15"/>
    </row>
    <row r="343" ht="14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</row>
    <row r="344" ht="14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  <c r="DC344" s="15"/>
      <c r="DD344" s="15"/>
      <c r="DE344" s="15"/>
      <c r="DF344" s="15"/>
      <c r="DG344" s="15"/>
      <c r="DH344" s="15"/>
      <c r="DI344" s="15"/>
      <c r="DJ344" s="15"/>
      <c r="DK344" s="15"/>
      <c r="DL344" s="15"/>
      <c r="DM344" s="15"/>
      <c r="DN344" s="15"/>
      <c r="DO344" s="15"/>
      <c r="DP344" s="15"/>
      <c r="DQ344" s="15"/>
      <c r="DR344" s="15"/>
      <c r="DS344" s="15"/>
      <c r="DT344" s="15"/>
    </row>
    <row r="345" ht="14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</row>
    <row r="346" ht="14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  <c r="DC346" s="15"/>
      <c r="DD346" s="15"/>
      <c r="DE346" s="15"/>
      <c r="DF346" s="15"/>
      <c r="DG346" s="15"/>
      <c r="DH346" s="15"/>
      <c r="DI346" s="15"/>
      <c r="DJ346" s="15"/>
      <c r="DK346" s="15"/>
      <c r="DL346" s="15"/>
      <c r="DM346" s="15"/>
      <c r="DN346" s="15"/>
      <c r="DO346" s="15"/>
      <c r="DP346" s="15"/>
      <c r="DQ346" s="15"/>
      <c r="DR346" s="15"/>
      <c r="DS346" s="15"/>
      <c r="DT346" s="15"/>
    </row>
    <row r="347" ht="14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</row>
    <row r="348" ht="14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  <c r="DE348" s="15"/>
      <c r="DF348" s="15"/>
      <c r="DG348" s="15"/>
      <c r="DH348" s="15"/>
      <c r="DI348" s="15"/>
      <c r="DJ348" s="15"/>
      <c r="DK348" s="15"/>
      <c r="DL348" s="15"/>
      <c r="DM348" s="15"/>
      <c r="DN348" s="15"/>
      <c r="DO348" s="15"/>
      <c r="DP348" s="15"/>
      <c r="DQ348" s="15"/>
      <c r="DR348" s="15"/>
      <c r="DS348" s="15"/>
      <c r="DT348" s="15"/>
    </row>
    <row r="349" ht="14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</row>
    <row r="350" ht="14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  <c r="DC350" s="15"/>
      <c r="DD350" s="15"/>
      <c r="DE350" s="15"/>
      <c r="DF350" s="15"/>
      <c r="DG350" s="15"/>
      <c r="DH350" s="15"/>
      <c r="DI350" s="15"/>
      <c r="DJ350" s="15"/>
      <c r="DK350" s="15"/>
      <c r="DL350" s="15"/>
      <c r="DM350" s="15"/>
      <c r="DN350" s="15"/>
      <c r="DO350" s="15"/>
      <c r="DP350" s="15"/>
      <c r="DQ350" s="15"/>
      <c r="DR350" s="15"/>
      <c r="DS350" s="15"/>
      <c r="DT350" s="15"/>
    </row>
  </sheetData>
  <dataValidations>
    <dataValidation type="list" allowBlank="1" showErrorMessage="1" sqref="D3:D150">
      <formula1>"Alcohol 96%,Air dried"</formula1>
    </dataValidation>
    <dataValidation type="list" allowBlank="1" showErrorMessage="1" sqref="E3:E150">
      <formula1>"PreservedSpecimen,MaterialSample"</formula1>
    </dataValidation>
    <dataValidation type="list" allowBlank="1" showErrorMessage="1" sqref="G4">
      <formula1>"yes,no (Remark)"</formula1>
    </dataValidation>
    <dataValidation type="list" allowBlank="1" showErrorMessage="1" sqref="F3:F150">
      <formula1>"Whole organism,Leg,Tissue"</formula1>
    </dataValidation>
    <dataValidation type="list" allowBlank="1" showErrorMessage="1" sqref="G3 G5:G150">
      <formula1>"Yes,No"</formula1>
    </dataValidation>
    <dataValidation type="list" allowBlank="1" showErrorMessage="1" sqref="AL3:AL150">
      <formula1>"Adult,Juvenile,Imago,Larve,Pupa,Other,Unknown"</formula1>
    </dataValidation>
    <dataValidation type="list" allowBlank="1" showErrorMessage="1" sqref="C3:C150">
      <formula1>"wet specimen,pinned specimen"</formula1>
    </dataValidation>
    <dataValidation type="list" allowBlank="1" showErrorMessage="1" sqref="AK3:AK150">
      <formula1>"Female,Worker,Queen,Hermaphrodite,Male,Mixed,Not applicable"</formula1>
    </dataValidation>
  </dataValidations>
  <printOptions/>
  <pageMargins bottom="0.75" footer="0.0" header="0.0" left="0.7" right="0.7" top="0.75"/>
  <pageSetup orientation="landscape"/>
  <drawing r:id="rId1"/>
</worksheet>
</file>